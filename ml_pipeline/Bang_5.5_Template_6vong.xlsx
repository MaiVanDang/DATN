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Huong_dan" sheetId="1" state="visible" r:id="rId1"/>
    <sheet name="Nhap_tung_vong" sheetId="2" state="visible" r:id="rId2"/>
    <sheet name="So_sanh_Bang_5.5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;\-0.00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i val="1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164" fontId="5" fillId="3" borderId="1" pivotButton="0" quotePrefix="0" xfId="0"/>
    <xf numFmtId="164" fontId="2" fillId="0" borderId="1" pivotButton="0" quotePrefix="0" xfId="0"/>
    <xf numFmtId="2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Normal="100" workbookViewId="0">
      <selection activeCell="A1" sqref="A1"/>
    </sheetView>
  </sheetViews>
  <sheetFormatPr baseColWidth="8" defaultColWidth="8.6640625" defaultRowHeight="14.4"/>
  <cols>
    <col width="112" customWidth="1" min="1" max="1"/>
  </cols>
  <sheetData>
    <row r="1" ht="15" customHeight="1">
      <c r="A1" s="1" t="inlineStr">
        <is>
          <t>Template thống kê Bảng 5.5 — kiểm thử chéo 6 vòng (leave-users-out)</t>
        </is>
      </c>
    </row>
    <row r="2"/>
    <row r="3" ht="15" customHeight="1">
      <c r="A3" s="2" t="inlineStr">
        <is>
          <t>Mục đích: bạn chạy benchmark 6 lần với cụm HELD_OUT_IDS khác nhau, điền kết quả từng vòng,</t>
        </is>
      </c>
    </row>
    <row r="4" ht="15" customHeight="1">
      <c r="A4" s="2" t="inlineStr">
        <is>
          <t>file tự tính trung bình ± độ lệch chuẩn rồi so với Bảng 5.5 hiện tại.</t>
        </is>
      </c>
    </row>
    <row r="5"/>
    <row r="6" ht="15" customHeight="1">
      <c r="A6" s="3" t="inlineStr">
        <is>
          <t>CÁCH LÀM:</t>
        </is>
      </c>
    </row>
    <row r="7" ht="15" customHeight="1">
      <c r="A7" s="2" t="inlineStr">
        <is>
          <t>1. Trong Active_Auth_Eval_Benchmark.ipynb, đổi HELD_OUT_IDS ở CONFIG sang cụm 5 người của vòng đó,</t>
        </is>
      </c>
    </row>
    <row r="8" ht="15" customHeight="1">
      <c r="A8" s="2" t="inlineStr">
        <is>
          <t xml:space="preserve">   chạy lại pipeline (RUN_BENCHMARK = True). Phần "OWNER VERIFICATION" sẽ in ra bảng cho</t>
        </is>
      </c>
    </row>
    <row r="9" ht="15" customHeight="1">
      <c r="A9" s="2" t="inlineStr">
        <is>
          <t xml:space="preserve">   CLOSED-SET (SEEN) và OPEN-SET (HELD-OUT), mỗi bảng có cột AUC và EER cho 4 hàm scoring.</t>
        </is>
      </c>
    </row>
    <row r="10" ht="15" customHeight="1">
      <c r="A10" s="2" t="inlineStr">
        <is>
          <t>2. Sang sheet "Nhap_tung_vong", điền các con số đó vào ô MÀU VÀNG (giữ nguyên dạng 0–1 như code in,</t>
        </is>
      </c>
    </row>
    <row r="11" ht="15" customHeight="1">
      <c r="A11" s="2" t="inlineStr">
        <is>
          <t xml:space="preserve">   ví dụ EER=0.0139, AUC=0.9950 — KHÔNG nhân 100, file sẽ tự đổi sang %).</t>
        </is>
      </c>
    </row>
    <row r="12" ht="15" customHeight="1">
      <c r="A12" s="2" t="inlineStr">
        <is>
          <t xml:space="preserve">   - Khối 1: EER tập mở   (lấy từ bảng OPEN-SET, cột EER)</t>
        </is>
      </c>
    </row>
    <row r="13" ht="15" customHeight="1">
      <c r="A13" s="2" t="inlineStr">
        <is>
          <t xml:space="preserve">   - Khối 2: EER tập đóng (lấy từ bảng CLOSED-SET, cột EER)</t>
        </is>
      </c>
    </row>
    <row r="14" ht="15" customHeight="1">
      <c r="A14" s="2" t="inlineStr">
        <is>
          <t xml:space="preserve">   - Khối 3: AUC tập mở   (lấy từ bảng OPEN-SET, cột AUC)</t>
        </is>
      </c>
    </row>
    <row r="15" ht="15" customHeight="1">
      <c r="A15" s="2" t="inlineStr">
        <is>
          <t>3. Ghi luôn cụm HELD_OUT_IDS của mỗi vòng vào bảng nhỏ phía trên để lưu vết.</t>
        </is>
      </c>
    </row>
    <row r="16" ht="15" customHeight="1">
      <c r="A16" s="2" t="inlineStr">
        <is>
          <t>4. Cột "Trung bình"/"Độ lệch chuẩn" tự tính (độ lệch chuẩn mẫu, đúng kiểu ± trong báo cáo).</t>
        </is>
      </c>
    </row>
    <row r="17" ht="15" customHeight="1">
      <c r="A17" s="2" t="inlineStr">
        <is>
          <t>5. Sang sheet "So_sanh_Bang_5.5" để đối chiếu kết quả bạn tính với Bảng 5.5 hiện có.</t>
        </is>
      </c>
    </row>
    <row r="18"/>
    <row r="19" ht="15" customHeight="1">
      <c r="A19" s="3" t="inlineStr">
        <is>
          <t>GHI CHÚ:</t>
        </is>
      </c>
    </row>
    <row r="20" ht="15" customHeight="1">
      <c r="A20" s="2" t="inlineStr">
        <is>
          <t>- Benchmark in ra đúng 4 hàm: cos_znorm, cos_knn, cos_mean, maha (khớp Bảng 5.5).</t>
        </is>
      </c>
    </row>
    <row r="21" ht="15" customHeight="1">
      <c r="A21" s="2" t="n"/>
    </row>
    <row r="22" ht="15" customHeight="1">
      <c r="A22" s="2" t="inlineStr">
        <is>
          <t>- "EER tập đóng" trong Bảng 5.5 báo cáo không kèm ±; bạn vẫn có thể nhập 6 vòng, file tính cả mean lẫn std.</t>
        </is>
      </c>
    </row>
    <row r="23" ht="15" customHeight="1">
      <c r="A23" s="2" t="inlineStr">
        <is>
          <t>- Ô vàng = cần nhập. Ô khác là công thức, đừng sửa.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topLeftCell="A9" zoomScaleNormal="100" workbookViewId="0">
      <selection activeCell="E30" sqref="E30"/>
    </sheetView>
  </sheetViews>
  <sheetFormatPr baseColWidth="8" defaultColWidth="8.6640625" defaultRowHeight="14.4"/>
  <cols>
    <col width="22" customWidth="1" min="1" max="1"/>
    <col width="38.6640625" bestFit="1" customWidth="1" min="2" max="2"/>
    <col width="7.109375" bestFit="1" customWidth="1" min="3" max="3"/>
    <col width="10" customWidth="1" min="4" max="7"/>
    <col width="15" customWidth="1" min="8" max="11"/>
  </cols>
  <sheetData>
    <row r="1" ht="15" customHeight="1">
      <c r="A1" s="1" t="inlineStr">
        <is>
          <t>Nhập kết quả từng vòng (ô vàng) — giá trị dạng 0–1 đúng như benchmark in ra</t>
        </is>
      </c>
    </row>
    <row r="3" ht="15" customHeight="1">
      <c r="A3" s="3" t="inlineStr">
        <is>
          <t>HELD_OUT_IDS theo từng vòng (ghi để lưu vết):</t>
        </is>
      </c>
    </row>
    <row r="4" ht="15" customHeight="1">
      <c r="A4" s="4" t="inlineStr">
        <is>
          <t>Vòng</t>
        </is>
      </c>
      <c r="B4" s="4" t="inlineStr">
        <is>
          <t>HELD_OUT_IDS (5 user)</t>
        </is>
      </c>
    </row>
    <row r="5" ht="15" customHeight="1">
      <c r="A5" s="5" t="inlineStr">
        <is>
          <t>Vòng 1</t>
        </is>
      </c>
      <c r="B5" s="6" t="inlineStr">
        <is>
          <t>user6, user7, user13, user14, user15</t>
        </is>
      </c>
    </row>
    <row r="6" ht="15" customHeight="1">
      <c r="A6" s="5" t="inlineStr">
        <is>
          <t>Vòng 2</t>
        </is>
      </c>
      <c r="B6" s="6" t="inlineStr">
        <is>
          <t>user1, user2, user3, user4, user5</t>
        </is>
      </c>
    </row>
    <row r="7" ht="15" customHeight="1">
      <c r="A7" s="5" t="inlineStr">
        <is>
          <t>Vòng 3</t>
        </is>
      </c>
      <c r="B7" s="6" t="inlineStr">
        <is>
          <t>user22, user23, user24, user25, user26</t>
        </is>
      </c>
    </row>
    <row r="8" ht="15" customHeight="1">
      <c r="A8" s="5" t="inlineStr">
        <is>
          <t>Vòng 4</t>
        </is>
      </c>
      <c r="B8" s="6" t="inlineStr">
        <is>
          <t>user13, user14, user15, user16, user18</t>
        </is>
      </c>
    </row>
    <row r="9" ht="15" customHeight="1">
      <c r="A9" s="5" t="inlineStr">
        <is>
          <t>Vòng 5</t>
        </is>
      </c>
      <c r="B9" s="6" t="inlineStr">
        <is>
          <t>user19, user20, user21, user22, user23</t>
        </is>
      </c>
    </row>
    <row r="10" ht="15" customHeight="1">
      <c r="A10" s="5" t="inlineStr">
        <is>
          <t>Vòng 6</t>
        </is>
      </c>
      <c r="B10" s="6" t="inlineStr">
        <is>
          <t>user1, user14, user18, user23, user26</t>
        </is>
      </c>
    </row>
    <row r="11" ht="15" customHeight="1">
      <c r="A11" s="7" t="inlineStr">
        <is>
          <t>KHỐI 1 — EER tập mở (open-set, từ bảng OPEN-SET cột EER, dạng 0–1)</t>
        </is>
      </c>
      <c r="B11" s="6" t="n"/>
    </row>
    <row r="12" ht="15" customHeight="1">
      <c r="A12" s="4" t="inlineStr">
        <is>
          <t>Hàm quyết định</t>
        </is>
      </c>
      <c r="B12" s="4" t="inlineStr">
        <is>
          <t>Vòng 1</t>
        </is>
      </c>
      <c r="C12" s="4" t="inlineStr">
        <is>
          <t>Vòng 2</t>
        </is>
      </c>
      <c r="D12" s="4" t="inlineStr">
        <is>
          <t>Vòng 3</t>
        </is>
      </c>
      <c r="E12" s="4" t="inlineStr">
        <is>
          <t>Vòng 4</t>
        </is>
      </c>
      <c r="F12" s="4" t="inlineStr">
        <is>
          <t>Vòng 5</t>
        </is>
      </c>
      <c r="G12" s="4" t="inlineStr">
        <is>
          <t>Vòng 6</t>
        </is>
      </c>
      <c r="H12" s="4" t="inlineStr">
        <is>
          <t>Trung bình</t>
        </is>
      </c>
      <c r="I12" s="4" t="inlineStr">
        <is>
          <t>Độ lệch chuẩn</t>
        </is>
      </c>
      <c r="J12" s="4" t="inlineStr">
        <is>
          <t>Trung bình (%)</t>
        </is>
      </c>
      <c r="K12" s="4" t="inlineStr">
        <is>
          <t>Độ lệch chuẩn (%)</t>
        </is>
      </c>
    </row>
    <row r="13" ht="15" customHeight="1">
      <c r="A13" s="8" t="inlineStr">
        <is>
          <t>cos_znorm</t>
        </is>
      </c>
      <c r="B13" s="9" t="n">
        <v>0.07920000000000001</v>
      </c>
      <c r="C13" s="9" t="n">
        <v>0.0667</v>
      </c>
      <c r="D13" s="9" t="n">
        <v>0.2</v>
      </c>
      <c r="E13" s="9" t="n">
        <v>0.0625</v>
      </c>
      <c r="F13" s="9" t="n">
        <v>0.0583</v>
      </c>
      <c r="G13" s="9" t="n">
        <v>0.1833</v>
      </c>
      <c r="H13" s="10">
        <f>IFERROR(AVERAGE(B13:G13),"")</f>
        <v/>
      </c>
      <c r="I13" s="10">
        <f>IFERROR(STDEV(B13:G13),"")</f>
        <v/>
      </c>
      <c r="J13" s="11">
        <f>IFERROR(AVERAGE(B13:G13)*100,"")</f>
        <v/>
      </c>
      <c r="K13" s="11">
        <f>IFERROR(STDEV(B13:G13)*100,"")</f>
        <v/>
      </c>
    </row>
    <row r="14" ht="15" customHeight="1">
      <c r="A14" s="8" t="inlineStr">
        <is>
          <t>cos_knn</t>
        </is>
      </c>
      <c r="B14" s="9" t="n">
        <v>0.0667</v>
      </c>
      <c r="C14" s="9" t="n">
        <v>0.0667</v>
      </c>
      <c r="D14" s="9" t="n">
        <v>0.2</v>
      </c>
      <c r="E14" s="9" t="n">
        <v>0.05</v>
      </c>
      <c r="F14" s="9" t="n">
        <v>0.0667</v>
      </c>
      <c r="G14" s="9" t="n">
        <v>0.2</v>
      </c>
      <c r="H14" s="10">
        <f>IFERROR(AVERAGE(B14:G14),"")</f>
        <v/>
      </c>
      <c r="I14" s="10">
        <f>IFERROR(STDEV(B14:G14),"")</f>
        <v/>
      </c>
      <c r="J14" s="11">
        <f>IFERROR(AVERAGE(B14:G14)*100,"")</f>
        <v/>
      </c>
      <c r="K14" s="11">
        <f>IFERROR(STDEV(B14:G14)*100,"")</f>
        <v/>
      </c>
    </row>
    <row r="15" ht="15" customHeight="1">
      <c r="A15" s="8" t="inlineStr">
        <is>
          <t>cos_mean</t>
        </is>
      </c>
      <c r="B15" s="9" t="n">
        <v>0.1333</v>
      </c>
      <c r="C15" s="9" t="n">
        <v>0.0667</v>
      </c>
      <c r="D15" s="9" t="n">
        <v>0.25</v>
      </c>
      <c r="E15" s="9" t="n">
        <v>0.1333</v>
      </c>
      <c r="F15" s="9" t="n">
        <v>0.1167</v>
      </c>
      <c r="G15" s="9" t="n">
        <v>0.1833</v>
      </c>
      <c r="H15" s="10">
        <f>IFERROR(AVERAGE(B15:G15),"")</f>
        <v/>
      </c>
      <c r="I15" s="10">
        <f>IFERROR(STDEV(B15:G15),"")</f>
        <v/>
      </c>
      <c r="J15" s="11">
        <f>IFERROR(AVERAGE(B15:G15)*100,"")</f>
        <v/>
      </c>
      <c r="K15" s="11">
        <f>IFERROR(STDEV(B15:G15)*100,"")</f>
        <v/>
      </c>
    </row>
    <row r="16" ht="15" customHeight="1">
      <c r="A16" s="8" t="inlineStr">
        <is>
          <t>maha</t>
        </is>
      </c>
      <c r="B16" s="9" t="n">
        <v>0.2667</v>
      </c>
      <c r="C16" s="9" t="n">
        <v>0.1917</v>
      </c>
      <c r="D16" s="9" t="n">
        <v>0.2</v>
      </c>
      <c r="E16" s="9" t="n">
        <v>0.1958</v>
      </c>
      <c r="F16" s="9" t="n">
        <v>0.2</v>
      </c>
      <c r="G16" s="9" t="n">
        <v>0.3333</v>
      </c>
      <c r="H16" s="10">
        <f>IFERROR(AVERAGE(B16:G16),"")</f>
        <v/>
      </c>
      <c r="I16" s="10">
        <f>IFERROR(STDEV(B16:G16),"")</f>
        <v/>
      </c>
      <c r="J16" s="11">
        <f>IFERROR(AVERAGE(B16:G16)*100,"")</f>
        <v/>
      </c>
      <c r="K16" s="11">
        <f>IFERROR(STDEV(B16:G16)*100,"")</f>
        <v/>
      </c>
    </row>
    <row r="17" ht="15" customHeight="1"/>
    <row r="18" ht="15" customHeight="1"/>
    <row r="19" ht="15" customHeight="1">
      <c r="A19" s="3" t="inlineStr">
        <is>
          <t>KHỐI 2 — EER tập đóng (closed-set, từ bảng CLOSED-SET cột EER, dạng 0–1)</t>
        </is>
      </c>
    </row>
    <row r="20">
      <c r="A20" s="4" t="inlineStr">
        <is>
          <t>Hàm quyết định</t>
        </is>
      </c>
      <c r="B20" s="4" t="inlineStr">
        <is>
          <t>Vòng 1</t>
        </is>
      </c>
      <c r="C20" s="4" t="inlineStr">
        <is>
          <t>Vòng 2</t>
        </is>
      </c>
      <c r="D20" s="4" t="inlineStr">
        <is>
          <t>Vòng 3</t>
        </is>
      </c>
      <c r="E20" s="4" t="inlineStr">
        <is>
          <t>Vòng 4</t>
        </is>
      </c>
      <c r="F20" s="4" t="inlineStr">
        <is>
          <t>Vòng 5</t>
        </is>
      </c>
      <c r="G20" s="4" t="inlineStr">
        <is>
          <t>Vòng 6</t>
        </is>
      </c>
      <c r="H20" s="4" t="inlineStr">
        <is>
          <t>Trung bình</t>
        </is>
      </c>
      <c r="I20" s="4" t="inlineStr">
        <is>
          <t>Độ lệch chuẩn</t>
        </is>
      </c>
      <c r="J20" s="4" t="inlineStr">
        <is>
          <t>Trung bình (%)</t>
        </is>
      </c>
      <c r="K20" s="4" t="inlineStr">
        <is>
          <t>Độ lệch chuẩn (%)</t>
        </is>
      </c>
    </row>
    <row r="21">
      <c r="A21" s="8" t="inlineStr">
        <is>
          <t>cos_znorm</t>
        </is>
      </c>
      <c r="B21" s="9" t="n">
        <v>0.0341</v>
      </c>
      <c r="C21" s="9" t="n">
        <v>0.0141</v>
      </c>
      <c r="D21" s="9" t="n">
        <v>0.0156</v>
      </c>
      <c r="E21" s="9" t="n">
        <v>0.0322</v>
      </c>
      <c r="F21" s="9" t="n">
        <v>0.0207</v>
      </c>
      <c r="G21" s="9" t="n">
        <v>0.0175</v>
      </c>
      <c r="H21" s="10">
        <f>IFERROR(AVERAGE(B21:G21),"")</f>
        <v/>
      </c>
      <c r="I21" s="10">
        <f>IFERROR(STDEV(B21:G21),"")</f>
        <v/>
      </c>
      <c r="J21" s="11">
        <f>IFERROR(AVERAGE(B21:G21)*100,"")</f>
        <v/>
      </c>
      <c r="K21" s="11">
        <f>IFERROR(STDEV(B21:G21)*100,"")</f>
        <v/>
      </c>
    </row>
    <row r="22" ht="15" customHeight="1">
      <c r="A22" s="8" t="inlineStr">
        <is>
          <t>cos_knn</t>
        </is>
      </c>
      <c r="B22" s="9" t="n">
        <v>0.0317</v>
      </c>
      <c r="C22" s="9" t="n">
        <v>0.0175</v>
      </c>
      <c r="D22" s="9" t="n">
        <v>0.0175</v>
      </c>
      <c r="E22" s="9" t="n">
        <v>0.0368</v>
      </c>
      <c r="F22" s="9" t="n">
        <v>0.0348</v>
      </c>
      <c r="G22" s="9" t="n">
        <v>0.0317</v>
      </c>
      <c r="H22" s="10">
        <f>IFERROR(AVERAGE(B22:G22),"")</f>
        <v/>
      </c>
      <c r="I22" s="10">
        <f>IFERROR(STDEV(B22:G22),"")</f>
        <v/>
      </c>
      <c r="J22" s="11">
        <f>IFERROR(AVERAGE(B22:G22)*100,"")</f>
        <v/>
      </c>
      <c r="K22" s="11">
        <f>IFERROR(STDEV(B22:G22)*100,"")</f>
        <v/>
      </c>
    </row>
    <row r="23" ht="15" customHeight="1">
      <c r="A23" s="8" t="inlineStr">
        <is>
          <t>cos_mean</t>
        </is>
      </c>
      <c r="B23" s="9" t="n">
        <v>0.0339</v>
      </c>
      <c r="C23" s="9" t="n">
        <v>0.0185</v>
      </c>
      <c r="D23" s="9" t="n">
        <v>0.0185</v>
      </c>
      <c r="E23" s="9" t="n">
        <v>0.0487</v>
      </c>
      <c r="F23" s="9" t="n">
        <v>0.0351</v>
      </c>
      <c r="G23" s="9" t="n">
        <v>0.0317</v>
      </c>
      <c r="H23" s="10">
        <f>IFERROR(AVERAGE(B23:G23),"")</f>
        <v/>
      </c>
      <c r="I23" s="10">
        <f>IFERROR(STDEV(B23:G23),"")</f>
        <v/>
      </c>
      <c r="J23" s="11">
        <f>IFERROR(AVERAGE(B23:G23)*100,"")</f>
        <v/>
      </c>
      <c r="K23" s="11">
        <f>IFERROR(STDEV(B23:G23)*100,"")</f>
        <v/>
      </c>
    </row>
    <row r="24" ht="15" customHeight="1">
      <c r="A24" s="8" t="inlineStr">
        <is>
          <t>maha</t>
        </is>
      </c>
      <c r="B24" s="9" t="n">
        <v>0.154</v>
      </c>
      <c r="C24" s="9" t="n">
        <v>0.1245</v>
      </c>
      <c r="D24" s="9" t="n">
        <v>0.2105</v>
      </c>
      <c r="E24" s="9" t="n">
        <v>0.2105</v>
      </c>
      <c r="F24" s="9" t="n">
        <v>0.2105</v>
      </c>
      <c r="G24" s="9" t="n">
        <v>0.1404</v>
      </c>
      <c r="H24" s="10">
        <f>IFERROR(AVERAGE(B24:G24),"")</f>
        <v/>
      </c>
      <c r="I24" s="10">
        <f>IFERROR(STDEV(B24:G24),"")</f>
        <v/>
      </c>
      <c r="J24" s="11">
        <f>IFERROR(AVERAGE(B24:G24)*100,"")</f>
        <v/>
      </c>
      <c r="K24" s="11">
        <f>IFERROR(STDEV(B24:G24)*100,"")</f>
        <v/>
      </c>
    </row>
    <row r="25" ht="15" customHeight="1"/>
    <row r="26" ht="15" customHeight="1"/>
    <row r="27" ht="15" customHeight="1">
      <c r="A27" s="3" t="inlineStr">
        <is>
          <t>KHỐI 3 — AUC tập mở (open-set, từ bảng OPEN-SET cột AUC, dạng 0–1)</t>
        </is>
      </c>
    </row>
    <row r="28" ht="15" customHeight="1">
      <c r="A28" s="4" t="inlineStr">
        <is>
          <t>Hàm quyết định</t>
        </is>
      </c>
      <c r="B28" s="4" t="inlineStr">
        <is>
          <t>Vòng 1</t>
        </is>
      </c>
      <c r="C28" s="4" t="inlineStr">
        <is>
          <t>Vòng 2</t>
        </is>
      </c>
      <c r="D28" s="4" t="inlineStr">
        <is>
          <t>Vòng 3</t>
        </is>
      </c>
      <c r="E28" s="4" t="inlineStr">
        <is>
          <t>Vòng 4</t>
        </is>
      </c>
      <c r="F28" s="4" t="inlineStr">
        <is>
          <t>Vòng 5</t>
        </is>
      </c>
      <c r="G28" s="4" t="inlineStr">
        <is>
          <t>Vòng 6</t>
        </is>
      </c>
      <c r="H28" s="4" t="inlineStr">
        <is>
          <t>Trung bình</t>
        </is>
      </c>
      <c r="I28" s="4" t="inlineStr">
        <is>
          <t>Độ lệch chuẩn</t>
        </is>
      </c>
      <c r="J28" t="inlineStr">
        <is>
          <t>Trung bình (%)</t>
        </is>
      </c>
      <c r="K28" t="inlineStr">
        <is>
          <t>Độ lệch chuẩn (%)</t>
        </is>
      </c>
    </row>
    <row r="29" ht="15" customHeight="1">
      <c r="A29" s="8" t="inlineStr">
        <is>
          <t>cos_znorm</t>
        </is>
      </c>
      <c r="B29" s="9" t="n">
        <v>0.965</v>
      </c>
      <c r="C29" s="9" t="n">
        <v>0.9889</v>
      </c>
      <c r="D29" s="9" t="n">
        <v>0.8972</v>
      </c>
      <c r="E29" s="9" t="n">
        <v>0.9956</v>
      </c>
      <c r="F29" s="9" t="n">
        <v>0.9933</v>
      </c>
      <c r="G29" s="9" t="n">
        <v>0.9383</v>
      </c>
      <c r="H29" s="10">
        <f>IFERROR(AVERAGE(B29:G29),"")</f>
        <v/>
      </c>
      <c r="I29" s="10">
        <f>IFERROR(STDEV(B29:G29),"")</f>
        <v/>
      </c>
    </row>
    <row r="30" ht="15" customHeight="1">
      <c r="A30" s="8" t="inlineStr">
        <is>
          <t>cos_knn</t>
        </is>
      </c>
      <c r="B30" s="9" t="n">
        <v>0.9844000000000001</v>
      </c>
      <c r="C30" s="9" t="n">
        <v>0.9928</v>
      </c>
      <c r="D30" s="9" t="n">
        <v>0.8917</v>
      </c>
      <c r="E30" s="9" t="n">
        <v>0.9944</v>
      </c>
      <c r="F30" s="9" t="n">
        <v>0.99</v>
      </c>
      <c r="G30" s="9" t="n">
        <v>0.9061</v>
      </c>
      <c r="H30" s="10">
        <f>IFERROR(AVERAGE(B30:G30),"")</f>
        <v/>
      </c>
      <c r="I30" s="10">
        <f>IFERROR(STDEV(B30:G30),"")</f>
        <v/>
      </c>
    </row>
    <row r="31">
      <c r="A31" s="8" t="inlineStr">
        <is>
          <t>cos_mean</t>
        </is>
      </c>
      <c r="B31" s="9" t="n">
        <v>0.9617</v>
      </c>
      <c r="C31" s="9" t="n">
        <v>0.9883</v>
      </c>
      <c r="D31" s="9" t="n">
        <v>0.8594000000000001</v>
      </c>
      <c r="E31" s="9" t="n">
        <v>0.9628</v>
      </c>
      <c r="F31" s="9" t="n">
        <v>0.9767</v>
      </c>
      <c r="G31" s="9" t="n">
        <v>0.9122</v>
      </c>
      <c r="H31" s="10">
        <f>IFERROR(AVERAGE(B31:G31),"")</f>
        <v/>
      </c>
      <c r="I31" s="10">
        <f>IFERROR(STDEV(B31:G31),"")</f>
        <v/>
      </c>
    </row>
    <row r="32">
      <c r="A32" s="8" t="inlineStr">
        <is>
          <t>maha</t>
        </is>
      </c>
      <c r="B32" s="9" t="n">
        <v>0.8194</v>
      </c>
      <c r="C32" s="9" t="n">
        <v>0.9061</v>
      </c>
      <c r="D32" s="9" t="n">
        <v>0.8794</v>
      </c>
      <c r="E32" s="9" t="n">
        <v>0.8961</v>
      </c>
      <c r="F32" s="9" t="n">
        <v>0.9233</v>
      </c>
      <c r="G32" s="9" t="n">
        <v>0.7578</v>
      </c>
      <c r="H32" s="10">
        <f>IFERROR(AVERAGE(B32:G32),"")</f>
        <v/>
      </c>
      <c r="I32" s="10">
        <f>IFERROR(STDEV(B32:G32),"")</f>
        <v/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11" customWidth="1" min="2" max="2"/>
    <col width="13" customWidth="1" min="3" max="3"/>
    <col width="10" customWidth="1" min="4" max="4"/>
    <col width="14" customWidth="1" min="5" max="5"/>
    <col width="9" customWidth="1" min="6" max="6"/>
    <col width="13" customWidth="1" min="7" max="7"/>
    <col width="10" customWidth="1" min="8" max="8"/>
    <col width="14" customWidth="1" min="9" max="9"/>
    <col width="15" customWidth="1" min="10" max="10"/>
  </cols>
  <sheetData>
    <row r="1" ht="15" customHeight="1">
      <c r="A1" s="1" t="inlineStr">
        <is>
          <t>So sánh kết quả 6 vòng của bạn với Bảng 5.5 hiện tại</t>
        </is>
      </c>
    </row>
    <row r="2" ht="15" customHeight="1">
      <c r="B2" s="18" t="inlineStr">
        <is>
          <t>TÍNH TỪ 6 VÒNG CỦA BẠN</t>
        </is>
      </c>
      <c r="C2" s="19" t="n"/>
      <c r="D2" s="19" t="n"/>
      <c r="E2" s="20" t="n"/>
      <c r="F2" s="18" t="inlineStr">
        <is>
          <t>BẢNG 5.5 HIỆN TẠI</t>
        </is>
      </c>
      <c r="G2" s="19" t="n"/>
      <c r="H2" s="19" t="n"/>
      <c r="I2" s="20" t="n"/>
    </row>
    <row r="3" ht="15" customHeight="1">
      <c r="A3" s="4" t="inlineStr">
        <is>
          <t>Hàm quyết định</t>
        </is>
      </c>
      <c r="B3" s="4" t="inlineStr">
        <is>
          <t>AUC tập mở</t>
        </is>
      </c>
      <c r="C3" s="4" t="inlineStr">
        <is>
          <t>EER tập mở (%)</t>
        </is>
      </c>
      <c r="D3" s="4" t="inlineStr">
        <is>
          <t>± Std (%)</t>
        </is>
      </c>
      <c r="E3" s="4" t="inlineStr">
        <is>
          <t>EER tập đóng (%)</t>
        </is>
      </c>
      <c r="F3" s="4" t="inlineStr">
        <is>
          <t>AUC</t>
        </is>
      </c>
      <c r="G3" s="4" t="inlineStr">
        <is>
          <t>EER tập mở (%)</t>
        </is>
      </c>
      <c r="H3" s="4" t="inlineStr">
        <is>
          <t>± Std (%)</t>
        </is>
      </c>
      <c r="I3" s="4" t="inlineStr">
        <is>
          <t>EER tập đóng (%)</t>
        </is>
      </c>
      <c r="J3" s="4" t="inlineStr">
        <is>
          <t>Chênh EER mở (%)</t>
        </is>
      </c>
    </row>
    <row r="4" ht="15" customHeight="1">
      <c r="A4" s="8" t="inlineStr">
        <is>
          <t>cos_znorm</t>
        </is>
      </c>
      <c r="B4" s="12">
        <f>IFERROR(Nhap_tung_vong!H29,"")</f>
        <v/>
      </c>
      <c r="C4" s="13">
        <f>IFERROR(Nhap_tung_vong!J13,"")</f>
        <v/>
      </c>
      <c r="D4" s="13">
        <f>IFERROR(Nhap_tung_vong!K13,"")</f>
        <v/>
      </c>
      <c r="E4" s="13">
        <f>IFERROR(Nhap_tung_vong!J21,"")</f>
        <v/>
      </c>
      <c r="F4" s="14" t="n">
        <v>0.995</v>
      </c>
      <c r="G4" s="15" t="n">
        <v>1.39</v>
      </c>
      <c r="H4" s="15" t="n">
        <v>2.4</v>
      </c>
      <c r="I4" s="15" t="n">
        <v>0.34</v>
      </c>
      <c r="J4" s="16">
        <f>IFERROR(C4-G4,"")</f>
        <v/>
      </c>
    </row>
    <row r="5" ht="15" customHeight="1">
      <c r="A5" s="8" t="inlineStr">
        <is>
          <t>cos_knn</t>
        </is>
      </c>
      <c r="B5" s="12">
        <f>IFERROR(Nhap_tung_vong!H30,"")</f>
        <v/>
      </c>
      <c r="C5" s="13">
        <f>IFERROR(Nhap_tung_vong!J14,"")</f>
        <v/>
      </c>
      <c r="D5" s="13">
        <f>IFERROR(Nhap_tung_vong!K14,"")</f>
        <v/>
      </c>
      <c r="E5" s="13">
        <f>IFERROR(Nhap_tung_vong!J22,"")</f>
        <v/>
      </c>
      <c r="F5" s="14" t="n">
        <v>0.994</v>
      </c>
      <c r="G5" s="15" t="n">
        <v>2.5</v>
      </c>
      <c r="H5" s="15" t="n">
        <v>3.26</v>
      </c>
      <c r="I5" s="15" t="n">
        <v>0.12</v>
      </c>
      <c r="J5" s="16">
        <f>IFERROR(C5-G5,"")</f>
        <v/>
      </c>
    </row>
    <row r="6" ht="15" customHeight="1">
      <c r="A6" s="8" t="inlineStr">
        <is>
          <t>cos_mean</t>
        </is>
      </c>
      <c r="B6" s="12">
        <f>IFERROR(Nhap_tung_vong!H31,"")</f>
        <v/>
      </c>
      <c r="C6" s="13">
        <f>IFERROR(Nhap_tung_vong!J15,"")</f>
        <v/>
      </c>
      <c r="D6" s="13">
        <f>IFERROR(Nhap_tung_vong!K15,"")</f>
        <v/>
      </c>
      <c r="E6" s="13">
        <f>IFERROR(Nhap_tung_vong!J23,"")</f>
        <v/>
      </c>
      <c r="F6" s="14" t="n">
        <v>0.991</v>
      </c>
      <c r="G6" s="15" t="n">
        <v>3.4</v>
      </c>
      <c r="H6" s="15" t="n">
        <v>4.9</v>
      </c>
      <c r="I6" s="15" t="n">
        <v>0.34</v>
      </c>
      <c r="J6" s="16">
        <f>IFERROR(C6-G6,"")</f>
        <v/>
      </c>
    </row>
    <row r="7" ht="15" customHeight="1">
      <c r="A7" s="8" t="inlineStr">
        <is>
          <t>maha</t>
        </is>
      </c>
      <c r="B7" s="12">
        <f>IFERROR(Nhap_tung_vong!H32,"")</f>
        <v/>
      </c>
      <c r="C7" s="13">
        <f>IFERROR(Nhap_tung_vong!J16,"")</f>
        <v/>
      </c>
      <c r="D7" s="13">
        <f>IFERROR(Nhap_tung_vong!K16,"")</f>
        <v/>
      </c>
      <c r="E7" s="13">
        <f>IFERROR(Nhap_tung_vong!J24,"")</f>
        <v/>
      </c>
      <c r="F7" s="14" t="n">
        <v>0.9</v>
      </c>
      <c r="G7" s="15" t="n">
        <v>21.11</v>
      </c>
      <c r="H7" s="15" t="n">
        <v>5.61</v>
      </c>
      <c r="I7" s="15" t="n">
        <v>15.86</v>
      </c>
      <c r="J7" s="16">
        <f>IFERROR(C7-G7,"")</f>
        <v/>
      </c>
    </row>
    <row r="9" ht="15" customHeight="1">
      <c r="A9" s="17" t="inlineStr">
        <is>
          <t>Ghi chú: cột "Chênh EER mở" = (giá trị bạn tính) − (Bảng 5.5). Gần 0 nghĩa là tái lập khớp.</t>
        </is>
      </c>
    </row>
  </sheetData>
  <mergeCells count="2">
    <mergeCell ref="F2:I2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2026-06-07T05:34:31Z</dcterms:created>
  <dcterms:modified xsi:type="dcterms:W3CDTF">2026-06-28T13:27:36Z</dcterms:modified>
  <cp:lastModifiedBy>Mai Van Dang 20225699</cp:lastModifiedBy>
  <cp:revision>0</cp:revision>
</cp:coreProperties>
</file>