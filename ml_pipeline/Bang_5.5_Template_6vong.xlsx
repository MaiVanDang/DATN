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DATN\ml_pipeline\"/>
    </mc:Choice>
  </mc:AlternateContent>
  <xr:revisionPtr revIDLastSave="0" documentId="13_ncr:1_{869FD4E6-0F4F-4B81-A8E5-94B937C66AD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Huong_dan" sheetId="1" r:id="rId1"/>
    <sheet name="Nhap_tung_vong" sheetId="2" r:id="rId2"/>
    <sheet name="So_sanh_Bang_5.5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2" l="1"/>
  <c r="H31" i="2"/>
  <c r="I30" i="2"/>
  <c r="H30" i="2"/>
  <c r="I29" i="2"/>
  <c r="H29" i="2"/>
  <c r="I28" i="2"/>
  <c r="H28" i="2"/>
  <c r="K23" i="2"/>
  <c r="J23" i="2"/>
  <c r="I23" i="2"/>
  <c r="H23" i="2"/>
  <c r="K22" i="2"/>
  <c r="J22" i="2"/>
  <c r="I22" i="2"/>
  <c r="H22" i="2"/>
  <c r="K21" i="2"/>
  <c r="J21" i="2"/>
  <c r="I21" i="2"/>
  <c r="H21" i="2"/>
  <c r="K20" i="2"/>
  <c r="J20" i="2"/>
  <c r="I20" i="2"/>
  <c r="H20" i="2"/>
  <c r="K15" i="2"/>
  <c r="J15" i="2"/>
  <c r="I15" i="2"/>
  <c r="H15" i="2"/>
  <c r="K14" i="2"/>
  <c r="J14" i="2"/>
  <c r="I14" i="2"/>
  <c r="H14" i="2"/>
  <c r="K13" i="2"/>
  <c r="J13" i="2"/>
  <c r="I13" i="2"/>
  <c r="H13" i="2"/>
  <c r="K12" i="2"/>
  <c r="J12" i="2"/>
  <c r="I12" i="2"/>
  <c r="H12" i="2"/>
  <c r="E7" i="3" l="1"/>
  <c r="D7" i="3"/>
  <c r="E6" i="3"/>
  <c r="C7" i="3"/>
  <c r="J7" i="3" s="1"/>
  <c r="B7" i="3"/>
  <c r="D6" i="3"/>
  <c r="C6" i="3"/>
  <c r="J6" i="3" s="1"/>
  <c r="B6" i="3"/>
  <c r="D5" i="3"/>
  <c r="C5" i="3"/>
  <c r="J5" i="3" s="1"/>
  <c r="B5" i="3"/>
  <c r="E5" i="3"/>
  <c r="E4" i="3"/>
  <c r="D4" i="3"/>
  <c r="C4" i="3"/>
  <c r="J4" i="3" s="1"/>
  <c r="B4" i="3"/>
</calcChain>
</file>

<file path=xl/sharedStrings.xml><?xml version="1.0" encoding="utf-8"?>
<sst xmlns="http://schemas.openxmlformats.org/spreadsheetml/2006/main" count="97" uniqueCount="55">
  <si>
    <t>Vòng</t>
  </si>
  <si>
    <t>HELD_OUT_IDS (5 user)</t>
  </si>
  <si>
    <t>Vòng 1</t>
  </si>
  <si>
    <t>user6, user7, user13, user14, user15</t>
  </si>
  <si>
    <t>Vòng 2</t>
  </si>
  <si>
    <t>user1, user2, user3, user4, user5</t>
  </si>
  <si>
    <t>Vòng 3</t>
  </si>
  <si>
    <t>user22, user23, user24, user25, user26</t>
  </si>
  <si>
    <t>Vòng 4</t>
  </si>
  <si>
    <t>user13, user14, user15, user16, user18</t>
  </si>
  <si>
    <t>Vòng 5</t>
  </si>
  <si>
    <t>user19, user20, user21, user22, user23</t>
  </si>
  <si>
    <t>Vòng 6</t>
  </si>
  <si>
    <t>user1, user14, user18, user23, user26</t>
  </si>
  <si>
    <t>KHỐI 1 — EER tập mở (open-set, từ bảng OPEN-SET cột EER, dạng 0–1)</t>
  </si>
  <si>
    <t>Hàm quyết định</t>
  </si>
  <si>
    <t>Trung bình</t>
  </si>
  <si>
    <t>Độ lệch chuẩn</t>
  </si>
  <si>
    <t>Trung bình (%)</t>
  </si>
  <si>
    <t>Độ lệch chuẩn (%)</t>
  </si>
  <si>
    <t>cos_znorm</t>
  </si>
  <si>
    <t>cos_knn</t>
  </si>
  <si>
    <t>cos_mean</t>
  </si>
  <si>
    <t>maha</t>
  </si>
  <si>
    <t>KHỐI 2 — EER tập đóng (closed-set, từ bảng CLOSED-SET cột EER, dạng 0–1)</t>
  </si>
  <si>
    <t>KHỐI 3 — AUC tập mở (open-set, từ bảng OPEN-SET cột AUC, dạng 0–1)</t>
  </si>
  <si>
    <t>Template thống kê Bảng 5.5 — kiểm thử chéo 6 vòng (leave-users-out)</t>
  </si>
  <si>
    <t>Mục đích: bạn chạy benchmark 6 lần với cụm HELD_OUT_IDS khác nhau, điền kết quả từng vòng,</t>
  </si>
  <si>
    <t>file tự tính trung bình ± độ lệch chuẩn rồi so với Bảng 5.5 hiện tại.</t>
  </si>
  <si>
    <t>CÁCH LÀM:</t>
  </si>
  <si>
    <t>1. Trong Active_Auth_Eval_Benchmark.ipynb, đổi HELD_OUT_IDS ở CONFIG sang cụm 5 người của vòng đó,</t>
  </si>
  <si>
    <t xml:space="preserve">   chạy lại pipeline (RUN_BENCHMARK = True). Phần "OWNER VERIFICATION" sẽ in ra bảng cho</t>
  </si>
  <si>
    <t xml:space="preserve">   CLOSED-SET (SEEN) và OPEN-SET (HELD-OUT), mỗi bảng có cột AUC và EER cho 4 hàm scoring.</t>
  </si>
  <si>
    <t>2. Sang sheet "Nhap_tung_vong", điền các con số đó vào ô MÀU VÀNG (giữ nguyên dạng 0–1 như code in,</t>
  </si>
  <si>
    <t xml:space="preserve">   ví dụ EER=0.0139, AUC=0.9950 — KHÔNG nhân 100, file sẽ tự đổi sang %).</t>
  </si>
  <si>
    <t xml:space="preserve">   - Khối 1: EER tập mở   (lấy từ bảng OPEN-SET, cột EER)</t>
  </si>
  <si>
    <t xml:space="preserve">   - Khối 2: EER tập đóng (lấy từ bảng CLOSED-SET, cột EER)</t>
  </si>
  <si>
    <t xml:space="preserve">   - Khối 3: AUC tập mở   (lấy từ bảng OPEN-SET, cột AUC)</t>
  </si>
  <si>
    <t>3. Ghi luôn cụm HELD_OUT_IDS của mỗi vòng vào bảng nhỏ phía trên để lưu vết.</t>
  </si>
  <si>
    <t>4. Cột "Trung bình"/"Độ lệch chuẩn" tự tính (độ lệch chuẩn mẫu, đúng kiểu ± trong báo cáo).</t>
  </si>
  <si>
    <t>5. Sang sheet "So_sanh_Bang_5.5" để đối chiếu kết quả bạn tính với Bảng 5.5 hiện có.</t>
  </si>
  <si>
    <t>GHI CHÚ:</t>
  </si>
  <si>
    <t>- Benchmark in ra đúng 4 hàm: cos_znorm, cos_knn, cos_mean, maha (khớp Bảng 5.5).</t>
  </si>
  <si>
    <t>- "EER tập đóng" trong Bảng 5.5 báo cáo không kèm ±; bạn vẫn có thể nhập 6 vòng, file tính cả mean lẫn std.</t>
  </si>
  <si>
    <t>- Ô vàng = cần nhập. Ô khác là công thức, đừng sửa.</t>
  </si>
  <si>
    <t>TÍNH TỪ 6 VÒNG CỦA BẠN</t>
  </si>
  <si>
    <t>BẢNG 5.5 HIỆN TẠI</t>
  </si>
  <si>
    <t>AUC tập mở</t>
  </si>
  <si>
    <t>EER tập mở (%)</t>
  </si>
  <si>
    <t>± Std (%)</t>
  </si>
  <si>
    <t>EER tập đóng (%)</t>
  </si>
  <si>
    <t>AUC</t>
  </si>
  <si>
    <t>Chênh EER mở (%)</t>
  </si>
  <si>
    <t>So sánh kết quả 6 vòng với Bảng 5.5 hiện tại</t>
  </si>
  <si>
    <t>HELD_OUT_IDS theo từng vòng: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</si>
</sst>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;\-0.00"/>
  </numFmts>
  <fonts count="7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i/>
      <sz val="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FFF2CC"/>
      </patternFill>
    </fill>
    <fill>
      <patternFill patternType="solid">
        <fgColor theme="0"/>
        <bgColor rgb="FFE2EFDA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164" fontId="5" fillId="3" borderId="1" xfId="0" applyNumberFormat="1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4" fillId="4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5" fillId="6" borderId="1" xfId="0" applyFont="1" applyFill="1" applyBorder="1"/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abSelected="1" zoomScaleNormal="100" workbookViewId="0"/>
  </sheetViews>
  <sheetFormatPr defaultColWidth="8.6640625" defaultRowHeight="14.4" x14ac:dyDescent="0.3"/>
  <cols>
    <col min="1" max="1" width="112" customWidth="1"/>
  </cols>
  <sheetData>
    <row r="1" spans="1:1" ht="15" customHeight="1" x14ac:dyDescent="0.3">
      <c r="A1" s="1" t="s">
        <v>26</v>
      </c>
    </row>
    <row r="3" spans="1:1" ht="15" customHeight="1" x14ac:dyDescent="0.3">
      <c r="A3" s="2" t="s">
        <v>27</v>
      </c>
    </row>
    <row r="4" spans="1:1" ht="15" customHeight="1" x14ac:dyDescent="0.3">
      <c r="A4" s="2" t="s">
        <v>28</v>
      </c>
    </row>
    <row r="6" spans="1:1" ht="15" customHeight="1" x14ac:dyDescent="0.3">
      <c r="A6" s="3" t="s">
        <v>29</v>
      </c>
    </row>
    <row r="7" spans="1:1" ht="15" customHeight="1" x14ac:dyDescent="0.3">
      <c r="A7" s="2" t="s">
        <v>30</v>
      </c>
    </row>
    <row r="8" spans="1:1" ht="15" customHeight="1" x14ac:dyDescent="0.3">
      <c r="A8" s="2" t="s">
        <v>31</v>
      </c>
    </row>
    <row r="9" spans="1:1" ht="15" customHeight="1" x14ac:dyDescent="0.3">
      <c r="A9" s="2" t="s">
        <v>32</v>
      </c>
    </row>
    <row r="10" spans="1:1" ht="15" customHeight="1" x14ac:dyDescent="0.3">
      <c r="A10" s="2" t="s">
        <v>33</v>
      </c>
    </row>
    <row r="11" spans="1:1" ht="15" customHeight="1" x14ac:dyDescent="0.3">
      <c r="A11" s="2" t="s">
        <v>34</v>
      </c>
    </row>
    <row r="12" spans="1:1" ht="15" customHeight="1" x14ac:dyDescent="0.3">
      <c r="A12" s="2" t="s">
        <v>35</v>
      </c>
    </row>
    <row r="13" spans="1:1" ht="15" customHeight="1" x14ac:dyDescent="0.3">
      <c r="A13" s="2" t="s">
        <v>36</v>
      </c>
    </row>
    <row r="14" spans="1:1" ht="15" customHeight="1" x14ac:dyDescent="0.3">
      <c r="A14" s="2" t="s">
        <v>37</v>
      </c>
    </row>
    <row r="15" spans="1:1" ht="15" customHeight="1" x14ac:dyDescent="0.3">
      <c r="A15" s="2" t="s">
        <v>38</v>
      </c>
    </row>
    <row r="16" spans="1:1" ht="15" customHeight="1" x14ac:dyDescent="0.3">
      <c r="A16" s="2" t="s">
        <v>39</v>
      </c>
    </row>
    <row r="17" spans="1:1" ht="15" customHeight="1" x14ac:dyDescent="0.3">
      <c r="A17" s="2" t="s">
        <v>40</v>
      </c>
    </row>
    <row r="19" spans="1:1" ht="15" customHeight="1" x14ac:dyDescent="0.3">
      <c r="A19" s="3" t="s">
        <v>41</v>
      </c>
    </row>
    <row r="20" spans="1:1" ht="15" customHeight="1" x14ac:dyDescent="0.3">
      <c r="A20" s="2" t="s">
        <v>42</v>
      </c>
    </row>
    <row r="21" spans="1:1" ht="15" customHeight="1" x14ac:dyDescent="0.3">
      <c r="A21" s="2"/>
    </row>
    <row r="22" spans="1:1" ht="15" customHeight="1" x14ac:dyDescent="0.3">
      <c r="A22" s="2" t="s">
        <v>43</v>
      </c>
    </row>
    <row r="23" spans="1:1" ht="15" customHeight="1" x14ac:dyDescent="0.3">
      <c r="A23" s="2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40"/>
  <sheetViews>
    <sheetView topLeftCell="A15" zoomScaleNormal="100" workbookViewId="0">
      <selection activeCell="A10" sqref="A10"/>
    </sheetView>
  </sheetViews>
  <sheetFormatPr defaultColWidth="8.6640625" defaultRowHeight="14.4" x14ac:dyDescent="0.3"/>
  <cols>
    <col min="1" max="1" width="22" customWidth="1"/>
    <col min="2" max="2" width="38.6640625" bestFit="1" customWidth="1"/>
    <col min="3" max="3" width="7.109375" bestFit="1" customWidth="1"/>
    <col min="4" max="7" width="10" customWidth="1"/>
    <col min="8" max="11" width="15" customWidth="1"/>
  </cols>
  <sheetData>
    <row r="2" spans="1:11" ht="15" customHeight="1" x14ac:dyDescent="0.3">
      <c r="A2" s="3" t="s">
        <v>54</v>
      </c>
    </row>
    <row r="3" spans="1:11" ht="15" customHeight="1" x14ac:dyDescent="0.3">
      <c r="A3" s="4" t="s">
        <v>0</v>
      </c>
      <c r="B3" s="4" t="s">
        <v>1</v>
      </c>
    </row>
    <row r="4" spans="1:11" ht="15" customHeight="1" x14ac:dyDescent="0.3">
      <c r="A4" s="5" t="s">
        <v>2</v>
      </c>
      <c r="B4" s="6" t="s">
        <v>3</v>
      </c>
    </row>
    <row r="5" spans="1:11" ht="15" customHeight="1" x14ac:dyDescent="0.3">
      <c r="A5" s="5" t="s">
        <v>4</v>
      </c>
      <c r="B5" s="6" t="s">
        <v>5</v>
      </c>
    </row>
    <row r="6" spans="1:11" ht="15" customHeight="1" x14ac:dyDescent="0.3">
      <c r="A6" s="5" t="s">
        <v>6</v>
      </c>
      <c r="B6" s="6" t="s">
        <v>7</v>
      </c>
    </row>
    <row r="7" spans="1:11" ht="15" customHeight="1" x14ac:dyDescent="0.3">
      <c r="A7" s="5" t="s">
        <v>8</v>
      </c>
      <c r="B7" s="6" t="s">
        <v>9</v>
      </c>
    </row>
    <row r="8" spans="1:11" ht="15" customHeight="1" x14ac:dyDescent="0.3">
      <c r="A8" s="5" t="s">
        <v>10</v>
      </c>
      <c r="B8" s="6" t="s">
        <v>11</v>
      </c>
    </row>
    <row r="9" spans="1:11" ht="15" customHeight="1" x14ac:dyDescent="0.3">
      <c r="A9" s="5" t="s">
        <v>12</v>
      </c>
      <c r="B9" s="6" t="s">
        <v>13</v>
      </c>
    </row>
    <row r="10" spans="1:11" ht="15" customHeight="1" x14ac:dyDescent="0.3">
      <c r="A10" s="7" t="s">
        <v>14</v>
      </c>
      <c r="B10" s="21"/>
    </row>
    <row r="11" spans="1:11" ht="15" customHeight="1" x14ac:dyDescent="0.3">
      <c r="A11" s="4" t="s">
        <v>15</v>
      </c>
      <c r="B11" s="4" t="s">
        <v>2</v>
      </c>
      <c r="C11" s="4" t="s">
        <v>4</v>
      </c>
      <c r="D11" s="4" t="s">
        <v>6</v>
      </c>
      <c r="E11" s="4" t="s">
        <v>8</v>
      </c>
      <c r="F11" s="4" t="s">
        <v>10</v>
      </c>
      <c r="G11" s="4" t="s">
        <v>12</v>
      </c>
      <c r="H11" s="4" t="s">
        <v>16</v>
      </c>
      <c r="I11" s="4" t="s">
        <v>17</v>
      </c>
      <c r="J11" s="4" t="s">
        <v>18</v>
      </c>
      <c r="K11" s="4" t="s">
        <v>19</v>
      </c>
    </row>
    <row r="12" spans="1:11" ht="15" customHeight="1" x14ac:dyDescent="0.3">
      <c r="A12" s="8" t="s">
        <v>20</v>
      </c>
      <c r="B12" s="9">
        <v>7.9200000000000007E-2</v>
      </c>
      <c r="C12" s="9">
        <v>6.6699999999999995E-2</v>
      </c>
      <c r="D12" s="9">
        <v>0.2</v>
      </c>
      <c r="E12" s="9">
        <v>6.25E-2</v>
      </c>
      <c r="F12" s="9">
        <v>5.8299999999999998E-2</v>
      </c>
      <c r="G12" s="9">
        <v>0.18329999999999999</v>
      </c>
      <c r="H12" s="10">
        <f>IFERROR(AVERAGE(B12:G12),"")</f>
        <v>0.10833333333333334</v>
      </c>
      <c r="I12" s="10">
        <f>IFERROR(STDEV(B12:G12),"")</f>
        <v>6.5128938780442819E-2</v>
      </c>
      <c r="J12" s="11">
        <f>IFERROR(AVERAGE(B12:G12)*100,"")</f>
        <v>10.833333333333334</v>
      </c>
      <c r="K12" s="11">
        <f>IFERROR(STDEV(B12:G12)*100,"")</f>
        <v>6.5128938780442818</v>
      </c>
    </row>
    <row r="13" spans="1:11" ht="15" customHeight="1" x14ac:dyDescent="0.3">
      <c r="A13" s="8" t="s">
        <v>21</v>
      </c>
      <c r="B13" s="9">
        <v>6.6699999999999995E-2</v>
      </c>
      <c r="C13" s="9">
        <v>6.6699999999999995E-2</v>
      </c>
      <c r="D13" s="9">
        <v>0.2</v>
      </c>
      <c r="E13" s="9">
        <v>0.05</v>
      </c>
      <c r="F13" s="9">
        <v>6.6699999999999995E-2</v>
      </c>
      <c r="G13" s="9">
        <v>0.2</v>
      </c>
      <c r="H13" s="10">
        <f>IFERROR(AVERAGE(B13:G13),"")</f>
        <v>0.10835</v>
      </c>
      <c r="I13" s="10">
        <f>IFERROR(STDEV(B13:G13),"")</f>
        <v>7.1285812052609768E-2</v>
      </c>
      <c r="J13" s="11">
        <f>IFERROR(AVERAGE(B13:G13)*100,"")</f>
        <v>10.835000000000001</v>
      </c>
      <c r="K13" s="11">
        <f>IFERROR(STDEV(B13:G13)*100,"")</f>
        <v>7.1285812052609767</v>
      </c>
    </row>
    <row r="14" spans="1:11" ht="15" customHeight="1" x14ac:dyDescent="0.3">
      <c r="A14" s="8" t="s">
        <v>22</v>
      </c>
      <c r="B14" s="9">
        <v>0.1333</v>
      </c>
      <c r="C14" s="9">
        <v>6.6699999999999995E-2</v>
      </c>
      <c r="D14" s="9">
        <v>0.25</v>
      </c>
      <c r="E14" s="9">
        <v>0.1333</v>
      </c>
      <c r="F14" s="9">
        <v>0.1167</v>
      </c>
      <c r="G14" s="9">
        <v>0.18329999999999999</v>
      </c>
      <c r="H14" s="10">
        <f>IFERROR(AVERAGE(B14:G14),"")</f>
        <v>0.14721666666666669</v>
      </c>
      <c r="I14" s="10">
        <f>IFERROR(STDEV(B14:G14),"")</f>
        <v>6.2718367857164961E-2</v>
      </c>
      <c r="J14" s="11">
        <f>IFERROR(AVERAGE(B14:G14)*100,"")</f>
        <v>14.721666666666669</v>
      </c>
      <c r="K14" s="11">
        <f>IFERROR(STDEV(B14:G14)*100,"")</f>
        <v>6.2718367857164958</v>
      </c>
    </row>
    <row r="15" spans="1:11" ht="15" customHeight="1" x14ac:dyDescent="0.3">
      <c r="A15" s="8" t="s">
        <v>23</v>
      </c>
      <c r="B15" s="9">
        <v>0.26669999999999999</v>
      </c>
      <c r="C15" s="9">
        <v>0.19170000000000001</v>
      </c>
      <c r="D15" s="9">
        <v>0.2</v>
      </c>
      <c r="E15" s="9">
        <v>0.1958</v>
      </c>
      <c r="F15" s="9">
        <v>0.2</v>
      </c>
      <c r="G15" s="9">
        <v>0.33329999999999999</v>
      </c>
      <c r="H15" s="10">
        <f>IFERROR(AVERAGE(B15:G15),"")</f>
        <v>0.23124999999999998</v>
      </c>
      <c r="I15" s="10">
        <f>IFERROR(STDEV(B15:G15),"")</f>
        <v>5.7349690496113485E-2</v>
      </c>
      <c r="J15" s="11">
        <f>IFERROR(AVERAGE(B15:G15)*100,"")</f>
        <v>23.125</v>
      </c>
      <c r="K15" s="11">
        <f>IFERROR(STDEV(B15:G15)*100,"")</f>
        <v>5.7349690496113483</v>
      </c>
    </row>
    <row r="16" spans="1:11" ht="15" customHeight="1" x14ac:dyDescent="0.3"/>
    <row r="17" spans="1:11" ht="15" customHeight="1" x14ac:dyDescent="0.3"/>
    <row r="18" spans="1:11" ht="15" customHeight="1" x14ac:dyDescent="0.3">
      <c r="A18" s="3" t="s">
        <v>24</v>
      </c>
    </row>
    <row r="19" spans="1:11" x14ac:dyDescent="0.3">
      <c r="A19" s="4" t="s">
        <v>15</v>
      </c>
      <c r="B19" s="4" t="s">
        <v>2</v>
      </c>
      <c r="C19" s="4" t="s">
        <v>4</v>
      </c>
      <c r="D19" s="4" t="s">
        <v>6</v>
      </c>
      <c r="E19" s="4" t="s">
        <v>8</v>
      </c>
      <c r="F19" s="4" t="s">
        <v>10</v>
      </c>
      <c r="G19" s="4" t="s">
        <v>12</v>
      </c>
      <c r="H19" s="4" t="s">
        <v>16</v>
      </c>
      <c r="I19" s="4" t="s">
        <v>17</v>
      </c>
      <c r="J19" s="4" t="s">
        <v>18</v>
      </c>
      <c r="K19" s="4" t="s">
        <v>19</v>
      </c>
    </row>
    <row r="20" spans="1:11" x14ac:dyDescent="0.3">
      <c r="A20" s="8" t="s">
        <v>20</v>
      </c>
      <c r="B20" s="9">
        <v>3.4099999999999998E-2</v>
      </c>
      <c r="C20" s="9">
        <v>1.41E-2</v>
      </c>
      <c r="D20" s="9">
        <v>1.5599999999999999E-2</v>
      </c>
      <c r="E20" s="9">
        <v>3.2199999999999999E-2</v>
      </c>
      <c r="F20" s="9">
        <v>2.07E-2</v>
      </c>
      <c r="G20" s="9">
        <v>1.7500000000000002E-2</v>
      </c>
      <c r="H20" s="10">
        <f>IFERROR(AVERAGE(B20:G20),"")</f>
        <v>2.2366666666666663E-2</v>
      </c>
      <c r="I20" s="10">
        <f>IFERROR(STDEV(B20:G20),"")</f>
        <v>8.6597151608275615E-3</v>
      </c>
      <c r="J20" s="11">
        <f>IFERROR(AVERAGE(B20:G20)*100,"")</f>
        <v>2.2366666666666664</v>
      </c>
      <c r="K20" s="11">
        <f>IFERROR(STDEV(B20:G20)*100,"")</f>
        <v>0.86597151608275613</v>
      </c>
    </row>
    <row r="21" spans="1:11" ht="15" customHeight="1" x14ac:dyDescent="0.3">
      <c r="A21" s="8" t="s">
        <v>21</v>
      </c>
      <c r="B21" s="9">
        <v>3.1699999999999999E-2</v>
      </c>
      <c r="C21" s="9">
        <v>1.7500000000000002E-2</v>
      </c>
      <c r="D21" s="9">
        <v>1.7500000000000002E-2</v>
      </c>
      <c r="E21" s="9">
        <v>3.6799999999999999E-2</v>
      </c>
      <c r="F21" s="9">
        <v>3.4799999999999998E-2</v>
      </c>
      <c r="G21" s="9">
        <v>3.1699999999999999E-2</v>
      </c>
      <c r="H21" s="10">
        <f>IFERROR(AVERAGE(B21:G21),"")</f>
        <v>2.8333333333333335E-2</v>
      </c>
      <c r="I21" s="10">
        <f>IFERROR(STDEV(B21:G21),"")</f>
        <v>8.6127037953633682E-3</v>
      </c>
      <c r="J21" s="11">
        <f>IFERROR(AVERAGE(B21:G21)*100,"")</f>
        <v>2.8333333333333335</v>
      </c>
      <c r="K21" s="11">
        <f>IFERROR(STDEV(B21:G21)*100,"")</f>
        <v>0.86127037953633678</v>
      </c>
    </row>
    <row r="22" spans="1:11" ht="15" customHeight="1" x14ac:dyDescent="0.3">
      <c r="A22" s="8" t="s">
        <v>22</v>
      </c>
      <c r="B22" s="9">
        <v>3.39E-2</v>
      </c>
      <c r="C22" s="9">
        <v>1.8499999999999999E-2</v>
      </c>
      <c r="D22" s="9">
        <v>1.8499999999999999E-2</v>
      </c>
      <c r="E22" s="9">
        <v>4.87E-2</v>
      </c>
      <c r="F22" s="9">
        <v>3.5099999999999999E-2</v>
      </c>
      <c r="G22" s="9">
        <v>3.1699999999999999E-2</v>
      </c>
      <c r="H22" s="10">
        <f>IFERROR(AVERAGE(B22:G22),"")</f>
        <v>3.106666666666667E-2</v>
      </c>
      <c r="I22" s="10">
        <f>IFERROR(STDEV(B22:G22),"")</f>
        <v>1.1414668924969588E-2</v>
      </c>
      <c r="J22" s="11">
        <f>IFERROR(AVERAGE(B22:G22)*100,"")</f>
        <v>3.1066666666666669</v>
      </c>
      <c r="K22" s="11">
        <f>IFERROR(STDEV(B22:G22)*100,"")</f>
        <v>1.1414668924969589</v>
      </c>
    </row>
    <row r="23" spans="1:11" ht="15" customHeight="1" x14ac:dyDescent="0.3">
      <c r="A23" s="8" t="s">
        <v>23</v>
      </c>
      <c r="B23" s="9">
        <v>0.154</v>
      </c>
      <c r="C23" s="9">
        <v>0.1245</v>
      </c>
      <c r="D23" s="9">
        <v>0.21049999999999999</v>
      </c>
      <c r="E23" s="9">
        <v>0.21049999999999999</v>
      </c>
      <c r="F23" s="9">
        <v>0.21049999999999999</v>
      </c>
      <c r="G23" s="9">
        <v>0.1404</v>
      </c>
      <c r="H23" s="10">
        <f>IFERROR(AVERAGE(B23:G23),"")</f>
        <v>0.17506666666666668</v>
      </c>
      <c r="I23" s="10">
        <f>IFERROR(STDEV(B23:G23),"")</f>
        <v>3.9922758755710636E-2</v>
      </c>
      <c r="J23" s="11">
        <f>IFERROR(AVERAGE(B23:G23)*100,"")</f>
        <v>17.506666666666668</v>
      </c>
      <c r="K23" s="11">
        <f>IFERROR(STDEV(B23:G23)*100,"")</f>
        <v>3.9922758755710634</v>
      </c>
    </row>
    <row r="24" spans="1:11" ht="15" customHeight="1" x14ac:dyDescent="0.3"/>
    <row r="25" spans="1:11" ht="15" customHeight="1" x14ac:dyDescent="0.3"/>
    <row r="26" spans="1:11" ht="15" customHeight="1" x14ac:dyDescent="0.3">
      <c r="A26" s="3" t="s">
        <v>25</v>
      </c>
    </row>
    <row r="27" spans="1:11" ht="15" customHeight="1" x14ac:dyDescent="0.3">
      <c r="A27" s="4" t="s">
        <v>15</v>
      </c>
      <c r="B27" s="4" t="s">
        <v>2</v>
      </c>
      <c r="C27" s="4" t="s">
        <v>4</v>
      </c>
      <c r="D27" s="4" t="s">
        <v>6</v>
      </c>
      <c r="E27" s="4" t="s">
        <v>8</v>
      </c>
      <c r="F27" s="4" t="s">
        <v>10</v>
      </c>
      <c r="G27" s="4" t="s">
        <v>12</v>
      </c>
      <c r="H27" s="4" t="s">
        <v>16</v>
      </c>
      <c r="I27" s="4" t="s">
        <v>17</v>
      </c>
    </row>
    <row r="28" spans="1:11" ht="15" customHeight="1" x14ac:dyDescent="0.3">
      <c r="A28" s="8" t="s">
        <v>20</v>
      </c>
      <c r="B28" s="9">
        <v>0.96499999999999997</v>
      </c>
      <c r="C28" s="9">
        <v>0.9889</v>
      </c>
      <c r="D28" s="9">
        <v>0.8972</v>
      </c>
      <c r="E28" s="9">
        <v>0.99560000000000004</v>
      </c>
      <c r="F28" s="9">
        <v>0.99329999999999996</v>
      </c>
      <c r="G28" s="9">
        <v>0.93830000000000002</v>
      </c>
      <c r="H28" s="10">
        <f>IFERROR(AVERAGE(B28:G28),"")</f>
        <v>0.96304999999999996</v>
      </c>
      <c r="I28" s="10">
        <f>IFERROR(STDEV(B28:G28),"")</f>
        <v>3.8975312699194603E-2</v>
      </c>
    </row>
    <row r="29" spans="1:11" ht="15" customHeight="1" x14ac:dyDescent="0.3">
      <c r="A29" s="8" t="s">
        <v>21</v>
      </c>
      <c r="B29" s="9">
        <v>0.98440000000000005</v>
      </c>
      <c r="C29" s="9">
        <v>0.99280000000000002</v>
      </c>
      <c r="D29" s="9">
        <v>0.89170000000000005</v>
      </c>
      <c r="E29" s="9">
        <v>0.99439999999999995</v>
      </c>
      <c r="F29" s="9">
        <v>0.99</v>
      </c>
      <c r="G29" s="9">
        <v>0.90610000000000002</v>
      </c>
      <c r="H29" s="10">
        <f>IFERROR(AVERAGE(B29:G29),"")</f>
        <v>0.95990000000000009</v>
      </c>
      <c r="I29" s="10">
        <f>IFERROR(STDEV(B29:G29),"")</f>
        <v>4.7591175652635417E-2</v>
      </c>
    </row>
    <row r="30" spans="1:11" x14ac:dyDescent="0.3">
      <c r="A30" s="8" t="s">
        <v>22</v>
      </c>
      <c r="B30" s="9">
        <v>0.9617</v>
      </c>
      <c r="C30" s="9">
        <v>0.98829999999999996</v>
      </c>
      <c r="D30" s="9">
        <v>0.85940000000000005</v>
      </c>
      <c r="E30" s="9">
        <v>0.96279999999999999</v>
      </c>
      <c r="F30" s="9">
        <v>0.97670000000000001</v>
      </c>
      <c r="G30" s="9">
        <v>0.91220000000000001</v>
      </c>
      <c r="H30" s="10">
        <f>IFERROR(AVERAGE(B30:G30),"")</f>
        <v>0.94351666666666667</v>
      </c>
      <c r="I30" s="10">
        <f>IFERROR(STDEV(B30:G30),"")</f>
        <v>4.871449134155733E-2</v>
      </c>
    </row>
    <row r="31" spans="1:11" x14ac:dyDescent="0.3">
      <c r="A31" s="8" t="s">
        <v>23</v>
      </c>
      <c r="B31" s="9">
        <v>0.81940000000000002</v>
      </c>
      <c r="C31" s="9">
        <v>0.90610000000000002</v>
      </c>
      <c r="D31" s="9">
        <v>0.87939999999999996</v>
      </c>
      <c r="E31" s="9">
        <v>0.89610000000000001</v>
      </c>
      <c r="F31" s="9">
        <v>0.92330000000000001</v>
      </c>
      <c r="G31" s="9">
        <v>0.75780000000000003</v>
      </c>
      <c r="H31" s="10">
        <f>IFERROR(AVERAGE(B31:G31),"")</f>
        <v>0.86368333333333336</v>
      </c>
      <c r="I31" s="10">
        <f>IFERROR(STDEV(B31:G31),"")</f>
        <v>6.2965813475779578E-2</v>
      </c>
    </row>
    <row r="32" spans="1:11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zoomScaleNormal="100" workbookViewId="0">
      <selection activeCell="E18" sqref="E18"/>
    </sheetView>
  </sheetViews>
  <sheetFormatPr defaultColWidth="8.6640625" defaultRowHeight="14.4" x14ac:dyDescent="0.3"/>
  <cols>
    <col min="1" max="1" width="14" customWidth="1"/>
    <col min="2" max="2" width="11" customWidth="1"/>
    <col min="3" max="3" width="13" customWidth="1"/>
    <col min="4" max="4" width="10" customWidth="1"/>
    <col min="5" max="5" width="14" customWidth="1"/>
    <col min="6" max="6" width="9" customWidth="1"/>
    <col min="7" max="7" width="13" customWidth="1"/>
    <col min="8" max="8" width="10" customWidth="1"/>
    <col min="9" max="9" width="14" customWidth="1"/>
    <col min="10" max="10" width="15" customWidth="1"/>
  </cols>
  <sheetData>
    <row r="1" spans="1:10" ht="15" customHeight="1" x14ac:dyDescent="0.3">
      <c r="A1" s="1" t="s">
        <v>53</v>
      </c>
    </row>
    <row r="2" spans="1:10" ht="15" customHeight="1" x14ac:dyDescent="0.3">
      <c r="B2" s="18" t="s">
        <v>45</v>
      </c>
      <c r="C2" s="19"/>
      <c r="D2" s="19"/>
      <c r="E2" s="20"/>
      <c r="F2" s="18" t="s">
        <v>46</v>
      </c>
      <c r="G2" s="19"/>
      <c r="H2" s="19"/>
      <c r="I2" s="20"/>
    </row>
    <row r="3" spans="1:10" ht="15" customHeight="1" x14ac:dyDescent="0.3">
      <c r="A3" s="4" t="s">
        <v>15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48</v>
      </c>
      <c r="H3" s="4" t="s">
        <v>49</v>
      </c>
      <c r="I3" s="4" t="s">
        <v>50</v>
      </c>
      <c r="J3" s="4" t="s">
        <v>52</v>
      </c>
    </row>
    <row r="4" spans="1:10" ht="15" customHeight="1" x14ac:dyDescent="0.3">
      <c r="A4" s="8" t="s">
        <v>20</v>
      </c>
      <c r="B4" s="12">
        <f>IFERROR(Nhap_tung_vong!H28,"")</f>
        <v>0.96304999999999996</v>
      </c>
      <c r="C4" s="13">
        <f>IFERROR(Nhap_tung_vong!J12,"")</f>
        <v>10.833333333333334</v>
      </c>
      <c r="D4" s="13">
        <f>IFERROR(Nhap_tung_vong!K12,"")</f>
        <v>6.5128938780442818</v>
      </c>
      <c r="E4" s="13">
        <f>IFERROR(Nhap_tung_vong!J20,"")</f>
        <v>2.2366666666666664</v>
      </c>
      <c r="F4" s="14">
        <v>0.995</v>
      </c>
      <c r="G4" s="15">
        <v>1.39</v>
      </c>
      <c r="H4" s="15">
        <v>2.4</v>
      </c>
      <c r="I4" s="15">
        <v>0.34</v>
      </c>
      <c r="J4" s="16">
        <f>IFERROR(C4-G4,"")</f>
        <v>9.4433333333333334</v>
      </c>
    </row>
    <row r="5" spans="1:10" ht="15" customHeight="1" x14ac:dyDescent="0.3">
      <c r="A5" s="8" t="s">
        <v>21</v>
      </c>
      <c r="B5" s="12">
        <f>IFERROR(Nhap_tung_vong!H29,"")</f>
        <v>0.95990000000000009</v>
      </c>
      <c r="C5" s="13">
        <f>IFERROR(Nhap_tung_vong!J13,"")</f>
        <v>10.835000000000001</v>
      </c>
      <c r="D5" s="13">
        <f>IFERROR(Nhap_tung_vong!K13,"")</f>
        <v>7.1285812052609767</v>
      </c>
      <c r="E5" s="13">
        <f>IFERROR(Nhap_tung_vong!J21,"")</f>
        <v>2.8333333333333335</v>
      </c>
      <c r="F5" s="14">
        <v>0.99399999999999999</v>
      </c>
      <c r="G5" s="15">
        <v>2.5</v>
      </c>
      <c r="H5" s="15">
        <v>3.26</v>
      </c>
      <c r="I5" s="15">
        <v>0.12</v>
      </c>
      <c r="J5" s="16">
        <f>IFERROR(C5-G5,"")</f>
        <v>8.3350000000000009</v>
      </c>
    </row>
    <row r="6" spans="1:10" ht="15" customHeight="1" x14ac:dyDescent="0.3">
      <c r="A6" s="8" t="s">
        <v>22</v>
      </c>
      <c r="B6" s="12">
        <f>IFERROR(Nhap_tung_vong!H30,"")</f>
        <v>0.94351666666666667</v>
      </c>
      <c r="C6" s="13">
        <f>IFERROR(Nhap_tung_vong!J14,"")</f>
        <v>14.721666666666669</v>
      </c>
      <c r="D6" s="13">
        <f>IFERROR(Nhap_tung_vong!K14,"")</f>
        <v>6.2718367857164958</v>
      </c>
      <c r="E6" s="13">
        <f>IFERROR(Nhap_tung_vong!J22,"")</f>
        <v>3.1066666666666669</v>
      </c>
      <c r="F6" s="14">
        <v>0.99099999999999999</v>
      </c>
      <c r="G6" s="15">
        <v>3.4</v>
      </c>
      <c r="H6" s="15">
        <v>4.9000000000000004</v>
      </c>
      <c r="I6" s="15">
        <v>0.34</v>
      </c>
      <c r="J6" s="16">
        <f>IFERROR(C6-G6,"")</f>
        <v>11.321666666666669</v>
      </c>
    </row>
    <row r="7" spans="1:10" ht="15" customHeight="1" x14ac:dyDescent="0.3">
      <c r="A7" s="8" t="s">
        <v>23</v>
      </c>
      <c r="B7" s="12">
        <f>IFERROR(Nhap_tung_vong!H31,"")</f>
        <v>0.86368333333333336</v>
      </c>
      <c r="C7" s="13">
        <f>IFERROR(Nhap_tung_vong!J15,"")</f>
        <v>23.125</v>
      </c>
      <c r="D7" s="13">
        <f>IFERROR(Nhap_tung_vong!K15,"")</f>
        <v>5.7349690496113483</v>
      </c>
      <c r="E7" s="13">
        <f>IFERROR(Nhap_tung_vong!J23,"")</f>
        <v>17.506666666666668</v>
      </c>
      <c r="F7" s="14">
        <v>0.9</v>
      </c>
      <c r="G7" s="15">
        <v>21.11</v>
      </c>
      <c r="H7" s="15">
        <v>5.61</v>
      </c>
      <c r="I7" s="15">
        <v>15.86</v>
      </c>
      <c r="J7" s="16">
        <f>IFERROR(C7-G7,"")</f>
        <v>2.0150000000000006</v>
      </c>
    </row>
    <row r="9" spans="1:10" ht="15" customHeight="1" x14ac:dyDescent="0.3">
      <c r="A9" s="17"/>
    </row>
  </sheetData>
  <mergeCells count="2">
    <mergeCell ref="F2:I2"/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Huong_dan</vt:lpstr>
      <vt:lpstr>Nhap_tung_vong</vt:lpstr>
      <vt:lpstr>So_sanh_Bang_5.5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Mai Van Dang 20225699</cp:lastModifiedBy>
  <cp:revision>0</cp:revision>
  <dcterms:created xsi:type="dcterms:W3CDTF">2026-06-07T05:34:31Z</dcterms:created>
  <dcterms:modified xsi:type="dcterms:W3CDTF">2026-06-28T15:55:38Z</dcterms:modified>
  <dc:language>en-US</dc:language>
</cp:coreProperties>
</file>