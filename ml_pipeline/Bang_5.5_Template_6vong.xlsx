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uong_dan" sheetId="1" state="visible" r:id="rId3"/>
    <sheet name="Nhap_tung_vong" sheetId="2" state="visible" r:id="rId4"/>
    <sheet name="So_sanh_Bang_5.5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<sst xmlns="http://schemas.openxmlformats.org/spreadsheetml/2006/main" count="102" uniqueCount="55">
  <si>
    <t xml:space="preserve">Template thống kê Bảng 5.5 — kiểm thử chéo 6 vòng (leave-users-out)</t>
  </si>
  <si>
    <t xml:space="preserve">Mục đích: bạn chạy benchmark 6 lần với cụm HELD_OUT_IDS khác nhau, điền kết quả từng vòng,</t>
  </si>
  <si>
    <t xml:space="preserve">file tự tính trung bình ± độ lệch chuẩn rồi so với Bảng 5.5 hiện tại.</t>
  </si>
  <si>
    <t xml:space="preserve">CÁCH LÀM:</t>
  </si>
  <si>
    <t xml:space="preserve">1. Trong Active_Auth_RunAll_Colab.ipynb, đổi HELD_OUT_IDS ở CONFIG sang cụm 5 người của vòng đó,</t>
  </si>
  <si>
    <t xml:space="preserve">   chạy lại pipeline (RUN_BENCHMARK = True). Phần "OWNER VERIFICATION" sẽ in ra bảng cho</t>
  </si>
  <si>
    <t xml:space="preserve">   CLOSED-SET (SEEN) và OPEN-SET (HELD-OUT), mỗi bảng có cột AUC và EER cho 7 hàm scoring.</t>
  </si>
  <si>
    <t xml:space="preserve">2. Sang sheet "Nhap_tung_vong", điền các con số đó vào ô MÀU VÀNG (giữ nguyên dạng 0–1 như code in,</t>
  </si>
  <si>
    <t xml:space="preserve">   ví dụ EER=0.0139, AUC=0.9950 — KHÔNG nhân 100, file sẽ tự đổi sang %).</t>
  </si>
  <si>
    <t xml:space="preserve">   - Khối 1: EER tập mở   (lấy từ bảng OPEN-SET, cột EER)</t>
  </si>
  <si>
    <t xml:space="preserve">   - Khối 2: EER tập đóng (lấy từ bảng CLOSED-SET, cột EER)</t>
  </si>
  <si>
    <t xml:space="preserve">   - Khối 3: AUC tập mở   (lấy từ bảng OPEN-SET, cột AUC)</t>
  </si>
  <si>
    <t xml:space="preserve">3. Ghi luôn cụm HELD_OUT_IDS của mỗi vòng vào bảng nhỏ phía trên để lưu vết.</t>
  </si>
  <si>
    <t xml:space="preserve">4. Cột "Trung bình"/"Độ lệch chuẩn" tự tính (độ lệch chuẩn mẫu, đúng kiểu ± trong báo cáo).</t>
  </si>
  <si>
    <t xml:space="preserve">5. Sang sheet "So_sanh_Bang_5.5" để đối chiếu kết quả bạn tính với Bảng 5.5 hiện có.</t>
  </si>
  <si>
    <t xml:space="preserve">GHI CHÚ:</t>
  </si>
  <si>
    <t xml:space="preserve">- Benchmark có 7 hàm; Bảng 5.5 chỉ dùng 4 (cos_znorm, cos_knn, cos_mean, maha). 3 hàm còn lại</t>
  </si>
  <si>
    <t xml:space="preserve">  (ocsvm, isoforest, lof) vẫn để sẵn dòng nếu bạn muốn thống kê thêm.</t>
  </si>
  <si>
    <t xml:space="preserve">- "EER tập đóng" trong Bảng 5.5 báo cáo không kèm ±; bạn vẫn có thể nhập 6 vòng, file tính cả mean lẫn std.</t>
  </si>
  <si>
    <t xml:space="preserve">- Ô vàng = cần nhập. Ô khác là công thức, đừng sửa.</t>
  </si>
  <si>
    <t xml:space="preserve">Nhập kết quả từng vòng (ô vàng) — giá trị dạng 0–1 đúng như benchmark in ra</t>
  </si>
  <si>
    <t xml:space="preserve">HELD_OUT_IDS theo từng vòng (ghi để lưu vết):</t>
  </si>
  <si>
    <t xml:space="preserve">Vòng</t>
  </si>
  <si>
    <t xml:space="preserve">HELD_OUT_IDS (5 user)</t>
  </si>
  <si>
    <t xml:space="preserve">Vòng 1</t>
  </si>
  <si>
    <t xml:space="preserve">Vòng 2</t>
  </si>
  <si>
    <t xml:space="preserve">Vòng 3</t>
  </si>
  <si>
    <t xml:space="preserve">Vòng 4</t>
  </si>
  <si>
    <t xml:space="preserve">Vòng 5</t>
  </si>
  <si>
    <t xml:space="preserve">KHỐI 1 — EER tập mở (open-set, từ bảng OPEN-SET cột EER, dạng 0–1)</t>
  </si>
  <si>
    <t xml:space="preserve">Hàm quyết định</t>
  </si>
  <si>
    <t xml:space="preserve">Vòng 6</t>
  </si>
  <si>
    <t xml:space="preserve">Trung bình</t>
  </si>
  <si>
    <t xml:space="preserve">Độ lệch chuẩn</t>
  </si>
  <si>
    <t xml:space="preserve">Trung bình (%)</t>
  </si>
  <si>
    <t xml:space="preserve">Độ lệch chuẩn (%)</t>
  </si>
  <si>
    <t xml:space="preserve">cos_znorm</t>
  </si>
  <si>
    <t xml:space="preserve">cos_knn</t>
  </si>
  <si>
    <t xml:space="preserve">cos_mean</t>
  </si>
  <si>
    <t xml:space="preserve">maha</t>
  </si>
  <si>
    <t xml:space="preserve">ocsvm</t>
  </si>
  <si>
    <t xml:space="preserve">isoforest</t>
  </si>
  <si>
    <t xml:space="preserve">lof</t>
  </si>
  <si>
    <t xml:space="preserve">KHỐI 2 — EER tập đóng (closed-set, từ bảng CLOSED-SET cột EER, dạng 0–1)</t>
  </si>
  <si>
    <t xml:space="preserve">KHỐI 3 — AUC tập mở (open-set, từ bảng OPEN-SET cột AUC, dạng 0–1)</t>
  </si>
  <si>
    <t xml:space="preserve">So sánh kết quả 6 vòng của bạn với Bảng 5.5 hiện tại</t>
  </si>
  <si>
    <t xml:space="preserve">TÍNH TỪ 6 VÒNG CỦA BẠN</t>
  </si>
  <si>
    <t xml:space="preserve">BẢNG 5.5 HIỆN TẠI</t>
  </si>
  <si>
    <t xml:space="preserve">AUC tập mở</t>
  </si>
  <si>
    <t xml:space="preserve">EER tập mở (%)</t>
  </si>
  <si>
    <t xml:space="preserve">± Std (%)</t>
  </si>
  <si>
    <t xml:space="preserve">EER tập đóng (%)</t>
  </si>
  <si>
    <t xml:space="preserve">AUC</t>
  </si>
  <si>
    <t xml:space="preserve">Chênh EER mở (%)</t>
  </si>
  <si>
    <t xml:space="preserve">Ghi chú: cột "Chênh EER mở" = (giá trị bạn tính) − (Bảng 5.5). Gần 0 nghĩa là tái lập khớp.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</si>
</sst>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00"/>
    <numFmt numFmtId="166" formatCode="0.00"/>
    <numFmt numFmtId="167" formatCode="0.000"/>
    <numFmt numFmtId="168" formatCode="0.00;\-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E2EFDA"/>
      </patternFill>
    </fill>
    <fill>
      <patternFill patternType="solid">
        <fgColor rgb="FF2E75B6"/>
        <bgColor rgb="FF0066CC"/>
      </patternFill>
    </fill>
    <fill>
      <patternFill patternType="solid">
        <fgColor rgb="FFE2EFDA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2"/>
  </cols>
  <sheetData>
    <row r="1" customFormat="false" ht="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6" customFormat="false" ht="15" hidden="false" customHeight="false" outlineLevel="0" collapsed="false">
      <c r="A6" s="3" t="s">
        <v>3</v>
      </c>
    </row>
    <row r="7" customFormat="false" ht="15" hidden="false" customHeight="false" outlineLevel="0" collapsed="false">
      <c r="A7" s="2" t="s">
        <v>4</v>
      </c>
    </row>
    <row r="8" customFormat="false" ht="15" hidden="false" customHeight="false" outlineLevel="0" collapsed="false">
      <c r="A8" s="2" t="s">
        <v>5</v>
      </c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 t="s">
        <v>14</v>
      </c>
    </row>
    <row r="19" customFormat="false" ht="15" hidden="false" customHeight="false" outlineLevel="0" collapsed="false">
      <c r="A19" s="3" t="s">
        <v>15</v>
      </c>
    </row>
    <row r="20" customFormat="false" ht="15" hidden="false" customHeight="false" outlineLevel="0" collapsed="false">
      <c r="A20" s="2" t="s">
        <v>16</v>
      </c>
    </row>
    <row r="21" customFormat="false" ht="15" hidden="false" customHeight="false" outlineLevel="0" collapsed="false">
      <c r="A21" s="2" t="s">
        <v>17</v>
      </c>
    </row>
    <row r="22" customFormat="false" ht="15" hidden="false" customHeight="false" outlineLevel="0" collapsed="false">
      <c r="A22" s="2" t="s">
        <v>18</v>
      </c>
    </row>
    <row r="23" customFormat="false" ht="15" hidden="false" customHeight="false" outlineLevel="0" collapsed="false">
      <c r="A23" s="2" t="s">
        <v>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7" min="2" style="0" width="10"/>
    <col collapsed="false" customWidth="true" hidden="false" outlineLevel="0" max="11" min="8" style="0" width="15"/>
  </cols>
  <sheetData>
    <row r="1" customFormat="false" ht="15" hidden="false" customHeight="false" outlineLevel="0" collapsed="false">
      <c r="A1" s="1" t="s">
        <v>20</v>
      </c>
    </row>
    <row r="3" customFormat="false" ht="15" hidden="false" customHeight="false" outlineLevel="0" collapsed="false">
      <c r="A3" s="3" t="s">
        <v>21</v>
      </c>
    </row>
    <row r="4" customFormat="false" ht="15" hidden="false" customHeight="false" outlineLevel="0" collapsed="false">
      <c r="A4" s="4" t="s">
        <v>22</v>
      </c>
      <c r="B4" s="4" t="s">
        <v>23</v>
      </c>
    </row>
    <row r="5" customFormat="false" ht="15" hidden="false" customHeight="false" outlineLevel="0" collapsed="false">
      <c r="A5" s="5" t="s">
        <v>24</v>
      </c>
      <c r="B5" s="6"/>
    </row>
    <row r="6" customFormat="false" ht="15" hidden="false" customHeight="false" outlineLevel="0" collapsed="false">
      <c r="A6" s="5" t="s">
        <v>25</v>
      </c>
      <c r="B6" s="6"/>
    </row>
    <row r="7" customFormat="false" ht="15" hidden="false" customHeight="false" outlineLevel="0" collapsed="false">
      <c r="A7" s="5" t="s">
        <v>26</v>
      </c>
      <c r="B7" s="6"/>
    </row>
    <row r="8" customFormat="false" ht="15" hidden="false" customHeight="false" outlineLevel="0" collapsed="false">
      <c r="A8" s="5" t="s">
        <v>27</v>
      </c>
      <c r="B8" s="6"/>
    </row>
    <row r="9" customFormat="false" ht="15" hidden="false" customHeight="false" outlineLevel="0" collapsed="false">
      <c r="A9" s="5" t="s">
        <v>28</v>
      </c>
      <c r="B9" s="6"/>
    </row>
    <row r="10" customFormat="false" ht="15" hidden="false" customHeight="false" outlineLevel="0" collapsed="false">
      <c r="A10" s="7" t="s">
        <v>29</v>
      </c>
      <c r="B10" s="6"/>
    </row>
    <row r="11" customFormat="false" ht="15" hidden="false" customHeight="false" outlineLevel="0" collapsed="false">
      <c r="A11" s="4" t="s">
        <v>30</v>
      </c>
      <c r="B11" s="4" t="s">
        <v>24</v>
      </c>
      <c r="C11" s="4" t="s">
        <v>25</v>
      </c>
      <c r="D11" s="4" t="s">
        <v>26</v>
      </c>
      <c r="E11" s="4" t="s">
        <v>27</v>
      </c>
      <c r="F11" s="4" t="s">
        <v>28</v>
      </c>
      <c r="G11" s="4" t="s">
        <v>31</v>
      </c>
      <c r="H11" s="4" t="s">
        <v>32</v>
      </c>
      <c r="I11" s="4" t="s">
        <v>33</v>
      </c>
      <c r="J11" s="4" t="s">
        <v>34</v>
      </c>
      <c r="K11" s="4" t="s">
        <v>35</v>
      </c>
    </row>
    <row r="12" customFormat="false" ht="15" hidden="false" customHeight="false" outlineLevel="0" collapsed="false">
      <c r="A12" s="8" t="s">
        <v>36</v>
      </c>
      <c r="B12" s="9"/>
      <c r="C12" s="9"/>
      <c r="D12" s="9"/>
      <c r="E12" s="9"/>
      <c r="F12" s="9"/>
      <c r="G12" s="9"/>
      <c r="H12" s="10" t="str">
        <f aca="false">IFERROR(AVERAGE(B12:G12),"")</f>
        <v/>
      </c>
      <c r="I12" s="10" t="str">
        <f aca="false">IFERROR(STDEV(B12:G12),"")</f>
        <v/>
      </c>
      <c r="J12" s="11" t="str">
        <f aca="false">IFERROR(AVERAGE(B12:G12)*100,"")</f>
        <v/>
      </c>
      <c r="K12" s="11" t="str">
        <f aca="false">IFERROR(STDEV(B12:G12)*100,"")</f>
        <v/>
      </c>
    </row>
    <row r="13" customFormat="false" ht="15" hidden="false" customHeight="false" outlineLevel="0" collapsed="false">
      <c r="A13" s="8" t="s">
        <v>37</v>
      </c>
      <c r="B13" s="9"/>
      <c r="C13" s="9"/>
      <c r="D13" s="9"/>
      <c r="E13" s="9"/>
      <c r="F13" s="9"/>
      <c r="G13" s="9"/>
      <c r="H13" s="10" t="str">
        <f aca="false">IFERROR(AVERAGE(B13:G13),"")</f>
        <v/>
      </c>
      <c r="I13" s="10" t="str">
        <f aca="false">IFERROR(STDEV(B13:G13),"")</f>
        <v/>
      </c>
      <c r="J13" s="11" t="str">
        <f aca="false">IFERROR(AVERAGE(B13:G13)*100,"")</f>
        <v/>
      </c>
      <c r="K13" s="11" t="str">
        <f aca="false">IFERROR(STDEV(B13:G13)*100,"")</f>
        <v/>
      </c>
    </row>
    <row r="14" customFormat="false" ht="15" hidden="false" customHeight="false" outlineLevel="0" collapsed="false">
      <c r="A14" s="8" t="s">
        <v>38</v>
      </c>
      <c r="B14" s="9"/>
      <c r="C14" s="9"/>
      <c r="D14" s="9"/>
      <c r="E14" s="9"/>
      <c r="F14" s="9"/>
      <c r="G14" s="9"/>
      <c r="H14" s="10" t="str">
        <f aca="false">IFERROR(AVERAGE(B14:G14),"")</f>
        <v/>
      </c>
      <c r="I14" s="10" t="str">
        <f aca="false">IFERROR(STDEV(B14:G14),"")</f>
        <v/>
      </c>
      <c r="J14" s="11" t="str">
        <f aca="false">IFERROR(AVERAGE(B14:G14)*100,"")</f>
        <v/>
      </c>
      <c r="K14" s="11" t="str">
        <f aca="false">IFERROR(STDEV(B14:G14)*100,"")</f>
        <v/>
      </c>
    </row>
    <row r="15" customFormat="false" ht="15" hidden="false" customHeight="false" outlineLevel="0" collapsed="false">
      <c r="A15" s="8" t="s">
        <v>39</v>
      </c>
      <c r="B15" s="9"/>
      <c r="C15" s="9"/>
      <c r="D15" s="9"/>
      <c r="E15" s="9"/>
      <c r="F15" s="9"/>
      <c r="G15" s="9"/>
      <c r="H15" s="10" t="str">
        <f aca="false">IFERROR(AVERAGE(B15:G15),"")</f>
        <v/>
      </c>
      <c r="I15" s="10" t="str">
        <f aca="false">IFERROR(STDEV(B15:G15),"")</f>
        <v/>
      </c>
      <c r="J15" s="11" t="str">
        <f aca="false">IFERROR(AVERAGE(B15:G15)*100,"")</f>
        <v/>
      </c>
      <c r="K15" s="11" t="str">
        <f aca="false">IFERROR(STDEV(B15:G15)*100,"")</f>
        <v/>
      </c>
    </row>
    <row r="16" customFormat="false" ht="15" hidden="false" customHeight="false" outlineLevel="0" collapsed="false">
      <c r="A16" s="8" t="s">
        <v>40</v>
      </c>
      <c r="B16" s="9"/>
      <c r="C16" s="9"/>
      <c r="D16" s="9"/>
      <c r="E16" s="9"/>
      <c r="F16" s="9"/>
      <c r="G16" s="9"/>
      <c r="H16" s="10" t="str">
        <f aca="false">IFERROR(AVERAGE(B16:G16),"")</f>
        <v/>
      </c>
      <c r="I16" s="10" t="str">
        <f aca="false">IFERROR(STDEV(B16:G16),"")</f>
        <v/>
      </c>
      <c r="J16" s="11" t="str">
        <f aca="false">IFERROR(AVERAGE(B16:G16)*100,"")</f>
        <v/>
      </c>
      <c r="K16" s="11" t="str">
        <f aca="false">IFERROR(STDEV(B16:G16)*100,"")</f>
        <v/>
      </c>
    </row>
    <row r="17" customFormat="false" ht="15" hidden="false" customHeight="false" outlineLevel="0" collapsed="false">
      <c r="A17" s="8" t="s">
        <v>41</v>
      </c>
      <c r="B17" s="9"/>
      <c r="C17" s="9"/>
      <c r="D17" s="9"/>
      <c r="E17" s="9"/>
      <c r="F17" s="9"/>
      <c r="G17" s="9"/>
      <c r="H17" s="10" t="str">
        <f aca="false">IFERROR(AVERAGE(B17:G17),"")</f>
        <v/>
      </c>
      <c r="I17" s="10" t="str">
        <f aca="false">IFERROR(STDEV(B17:G17),"")</f>
        <v/>
      </c>
      <c r="J17" s="11" t="str">
        <f aca="false">IFERROR(AVERAGE(B17:G17)*100,"")</f>
        <v/>
      </c>
      <c r="K17" s="11" t="str">
        <f aca="false">IFERROR(STDEV(B17:G17)*100,"")</f>
        <v/>
      </c>
    </row>
    <row r="18" customFormat="false" ht="15" hidden="false" customHeight="false" outlineLevel="0" collapsed="false">
      <c r="A18" s="8" t="s">
        <v>42</v>
      </c>
      <c r="B18" s="9"/>
      <c r="C18" s="9"/>
      <c r="D18" s="9"/>
      <c r="E18" s="9"/>
      <c r="F18" s="9"/>
      <c r="G18" s="9"/>
      <c r="H18" s="10" t="str">
        <f aca="false">IFERROR(AVERAGE(B18:G18),"")</f>
        <v/>
      </c>
      <c r="I18" s="10" t="str">
        <f aca="false">IFERROR(STDEV(B18:G18),"")</f>
        <v/>
      </c>
      <c r="J18" s="11" t="str">
        <f aca="false">IFERROR(AVERAGE(B18:G18)*100,"")</f>
        <v/>
      </c>
      <c r="K18" s="11" t="str">
        <f aca="false">IFERROR(STDEV(B18:G18)*100,"")</f>
        <v/>
      </c>
    </row>
    <row r="21" customFormat="false" ht="15" hidden="false" customHeight="false" outlineLevel="0" collapsed="false">
      <c r="A21" s="3" t="s">
        <v>43</v>
      </c>
    </row>
    <row r="22" customFormat="false" ht="15" hidden="false" customHeight="false" outlineLevel="0" collapsed="false">
      <c r="A22" s="4" t="s">
        <v>30</v>
      </c>
      <c r="B22" s="4" t="s">
        <v>24</v>
      </c>
      <c r="C22" s="4" t="s">
        <v>25</v>
      </c>
      <c r="D22" s="4" t="s">
        <v>26</v>
      </c>
      <c r="E22" s="4" t="s">
        <v>27</v>
      </c>
      <c r="F22" s="4" t="s">
        <v>28</v>
      </c>
      <c r="G22" s="4" t="s">
        <v>31</v>
      </c>
      <c r="H22" s="4" t="s">
        <v>32</v>
      </c>
      <c r="I22" s="4" t="s">
        <v>33</v>
      </c>
      <c r="J22" s="4" t="s">
        <v>34</v>
      </c>
      <c r="K22" s="4" t="s">
        <v>35</v>
      </c>
    </row>
    <row r="23" customFormat="false" ht="15" hidden="false" customHeight="false" outlineLevel="0" collapsed="false">
      <c r="A23" s="8" t="s">
        <v>36</v>
      </c>
      <c r="B23" s="9"/>
      <c r="C23" s="9"/>
      <c r="D23" s="9"/>
      <c r="E23" s="9"/>
      <c r="F23" s="9"/>
      <c r="G23" s="9"/>
      <c r="H23" s="10" t="str">
        <f aca="false">IFERROR(AVERAGE(B23:G23),"")</f>
        <v/>
      </c>
      <c r="I23" s="10" t="str">
        <f aca="false">IFERROR(STDEV(B23:G23),"")</f>
        <v/>
      </c>
      <c r="J23" s="11" t="str">
        <f aca="false">IFERROR(AVERAGE(B23:G23)*100,"")</f>
        <v/>
      </c>
      <c r="K23" s="11" t="str">
        <f aca="false">IFERROR(STDEV(B23:G23)*100,"")</f>
        <v/>
      </c>
    </row>
    <row r="24" customFormat="false" ht="15" hidden="false" customHeight="false" outlineLevel="0" collapsed="false">
      <c r="A24" s="8" t="s">
        <v>37</v>
      </c>
      <c r="B24" s="9"/>
      <c r="C24" s="9"/>
      <c r="D24" s="9"/>
      <c r="E24" s="9"/>
      <c r="F24" s="9"/>
      <c r="G24" s="9"/>
      <c r="H24" s="10" t="str">
        <f aca="false">IFERROR(AVERAGE(B24:G24),"")</f>
        <v/>
      </c>
      <c r="I24" s="10" t="str">
        <f aca="false">IFERROR(STDEV(B24:G24),"")</f>
        <v/>
      </c>
      <c r="J24" s="11" t="str">
        <f aca="false">IFERROR(AVERAGE(B24:G24)*100,"")</f>
        <v/>
      </c>
      <c r="K24" s="11" t="str">
        <f aca="false">IFERROR(STDEV(B24:G24)*100,"")</f>
        <v/>
      </c>
    </row>
    <row r="25" customFormat="false" ht="15" hidden="false" customHeight="false" outlineLevel="0" collapsed="false">
      <c r="A25" s="8" t="s">
        <v>38</v>
      </c>
      <c r="B25" s="9"/>
      <c r="C25" s="9"/>
      <c r="D25" s="9"/>
      <c r="E25" s="9"/>
      <c r="F25" s="9"/>
      <c r="G25" s="9"/>
      <c r="H25" s="10" t="str">
        <f aca="false">IFERROR(AVERAGE(B25:G25),"")</f>
        <v/>
      </c>
      <c r="I25" s="10" t="str">
        <f aca="false">IFERROR(STDEV(B25:G25),"")</f>
        <v/>
      </c>
      <c r="J25" s="11" t="str">
        <f aca="false">IFERROR(AVERAGE(B25:G25)*100,"")</f>
        <v/>
      </c>
      <c r="K25" s="11" t="str">
        <f aca="false">IFERROR(STDEV(B25:G25)*100,"")</f>
        <v/>
      </c>
    </row>
    <row r="26" customFormat="false" ht="15" hidden="false" customHeight="false" outlineLevel="0" collapsed="false">
      <c r="A26" s="8" t="s">
        <v>39</v>
      </c>
      <c r="B26" s="9"/>
      <c r="C26" s="9"/>
      <c r="D26" s="9"/>
      <c r="E26" s="9"/>
      <c r="F26" s="9"/>
      <c r="G26" s="9"/>
      <c r="H26" s="10" t="str">
        <f aca="false">IFERROR(AVERAGE(B26:G26),"")</f>
        <v/>
      </c>
      <c r="I26" s="10" t="str">
        <f aca="false">IFERROR(STDEV(B26:G26),"")</f>
        <v/>
      </c>
      <c r="J26" s="11" t="str">
        <f aca="false">IFERROR(AVERAGE(B26:G26)*100,"")</f>
        <v/>
      </c>
      <c r="K26" s="11" t="str">
        <f aca="false">IFERROR(STDEV(B26:G26)*100,"")</f>
        <v/>
      </c>
    </row>
    <row r="27" customFormat="false" ht="15" hidden="false" customHeight="false" outlineLevel="0" collapsed="false">
      <c r="A27" s="8" t="s">
        <v>40</v>
      </c>
      <c r="B27" s="9"/>
      <c r="C27" s="9"/>
      <c r="D27" s="9"/>
      <c r="E27" s="9"/>
      <c r="F27" s="9"/>
      <c r="G27" s="9"/>
      <c r="H27" s="10" t="str">
        <f aca="false">IFERROR(AVERAGE(B27:G27),"")</f>
        <v/>
      </c>
      <c r="I27" s="10" t="str">
        <f aca="false">IFERROR(STDEV(B27:G27),"")</f>
        <v/>
      </c>
      <c r="J27" s="11" t="str">
        <f aca="false">IFERROR(AVERAGE(B27:G27)*100,"")</f>
        <v/>
      </c>
      <c r="K27" s="11" t="str">
        <f aca="false">IFERROR(STDEV(B27:G27)*100,"")</f>
        <v/>
      </c>
    </row>
    <row r="28" customFormat="false" ht="15" hidden="false" customHeight="false" outlineLevel="0" collapsed="false">
      <c r="A28" s="8" t="s">
        <v>41</v>
      </c>
      <c r="B28" s="9"/>
      <c r="C28" s="9"/>
      <c r="D28" s="9"/>
      <c r="E28" s="9"/>
      <c r="F28" s="9"/>
      <c r="G28" s="9"/>
      <c r="H28" s="10" t="str">
        <f aca="false">IFERROR(AVERAGE(B28:G28),"")</f>
        <v/>
      </c>
      <c r="I28" s="10" t="str">
        <f aca="false">IFERROR(STDEV(B28:G28),"")</f>
        <v/>
      </c>
      <c r="J28" s="11" t="str">
        <f aca="false">IFERROR(AVERAGE(B28:G28)*100,"")</f>
        <v/>
      </c>
      <c r="K28" s="11" t="str">
        <f aca="false">IFERROR(STDEV(B28:G28)*100,"")</f>
        <v/>
      </c>
    </row>
    <row r="29" customFormat="false" ht="15" hidden="false" customHeight="false" outlineLevel="0" collapsed="false">
      <c r="A29" s="8" t="s">
        <v>42</v>
      </c>
      <c r="B29" s="9"/>
      <c r="C29" s="9"/>
      <c r="D29" s="9"/>
      <c r="E29" s="9"/>
      <c r="F29" s="9"/>
      <c r="G29" s="9"/>
      <c r="H29" s="10" t="str">
        <f aca="false">IFERROR(AVERAGE(B29:G29),"")</f>
        <v/>
      </c>
      <c r="I29" s="10" t="str">
        <f aca="false">IFERROR(STDEV(B29:G29),"")</f>
        <v/>
      </c>
      <c r="J29" s="11" t="str">
        <f aca="false">IFERROR(AVERAGE(B29:G29)*100,"")</f>
        <v/>
      </c>
      <c r="K29" s="11" t="str">
        <f aca="false">IFERROR(STDEV(B29:G29)*100,"")</f>
        <v/>
      </c>
    </row>
    <row r="32" customFormat="false" ht="15" hidden="false" customHeight="false" outlineLevel="0" collapsed="false">
      <c r="A32" s="3" t="s">
        <v>44</v>
      </c>
    </row>
    <row r="33" customFormat="false" ht="15" hidden="false" customHeight="false" outlineLevel="0" collapsed="false">
      <c r="A33" s="4" t="s">
        <v>30</v>
      </c>
      <c r="B33" s="4" t="s">
        <v>24</v>
      </c>
      <c r="C33" s="4" t="s">
        <v>25</v>
      </c>
      <c r="D33" s="4" t="s">
        <v>26</v>
      </c>
      <c r="E33" s="4" t="s">
        <v>27</v>
      </c>
      <c r="F33" s="4" t="s">
        <v>28</v>
      </c>
      <c r="G33" s="4" t="s">
        <v>31</v>
      </c>
      <c r="H33" s="4" t="s">
        <v>32</v>
      </c>
      <c r="I33" s="4" t="s">
        <v>33</v>
      </c>
    </row>
    <row r="34" customFormat="false" ht="15" hidden="false" customHeight="false" outlineLevel="0" collapsed="false">
      <c r="A34" s="8" t="s">
        <v>36</v>
      </c>
      <c r="B34" s="9"/>
      <c r="C34" s="9"/>
      <c r="D34" s="9"/>
      <c r="E34" s="9"/>
      <c r="F34" s="9"/>
      <c r="G34" s="9"/>
      <c r="H34" s="10" t="str">
        <f aca="false">IFERROR(AVERAGE(B34:G34),"")</f>
        <v/>
      </c>
      <c r="I34" s="10" t="str">
        <f aca="false">IFERROR(STDEV(B34:G34),"")</f>
        <v/>
      </c>
    </row>
    <row r="35" customFormat="false" ht="15" hidden="false" customHeight="false" outlineLevel="0" collapsed="false">
      <c r="A35" s="8" t="s">
        <v>37</v>
      </c>
      <c r="B35" s="9"/>
      <c r="C35" s="9"/>
      <c r="D35" s="9"/>
      <c r="E35" s="9"/>
      <c r="F35" s="9"/>
      <c r="G35" s="9"/>
      <c r="H35" s="10" t="str">
        <f aca="false">IFERROR(AVERAGE(B35:G35),"")</f>
        <v/>
      </c>
      <c r="I35" s="10" t="str">
        <f aca="false">IFERROR(STDEV(B35:G35),"")</f>
        <v/>
      </c>
    </row>
    <row r="36" customFormat="false" ht="15" hidden="false" customHeight="false" outlineLevel="0" collapsed="false">
      <c r="A36" s="8" t="s">
        <v>38</v>
      </c>
      <c r="B36" s="9"/>
      <c r="C36" s="9"/>
      <c r="D36" s="9"/>
      <c r="E36" s="9"/>
      <c r="F36" s="9"/>
      <c r="G36" s="9"/>
      <c r="H36" s="10" t="str">
        <f aca="false">IFERROR(AVERAGE(B36:G36),"")</f>
        <v/>
      </c>
      <c r="I36" s="10" t="str">
        <f aca="false">IFERROR(STDEV(B36:G36),"")</f>
        <v/>
      </c>
    </row>
    <row r="37" customFormat="false" ht="15" hidden="false" customHeight="false" outlineLevel="0" collapsed="false">
      <c r="A37" s="8" t="s">
        <v>39</v>
      </c>
      <c r="B37" s="9"/>
      <c r="C37" s="9"/>
      <c r="D37" s="9"/>
      <c r="E37" s="9"/>
      <c r="F37" s="9"/>
      <c r="G37" s="9"/>
      <c r="H37" s="10" t="str">
        <f aca="false">IFERROR(AVERAGE(B37:G37),"")</f>
        <v/>
      </c>
      <c r="I37" s="10" t="str">
        <f aca="false">IFERROR(STDEV(B37:G37),"")</f>
        <v/>
      </c>
    </row>
    <row r="38" customFormat="false" ht="15" hidden="false" customHeight="false" outlineLevel="0" collapsed="false">
      <c r="A38" s="8" t="s">
        <v>40</v>
      </c>
      <c r="B38" s="9"/>
      <c r="C38" s="9"/>
      <c r="D38" s="9"/>
      <c r="E38" s="9"/>
      <c r="F38" s="9"/>
      <c r="G38" s="9"/>
      <c r="H38" s="10" t="str">
        <f aca="false">IFERROR(AVERAGE(B38:G38),"")</f>
        <v/>
      </c>
      <c r="I38" s="10" t="str">
        <f aca="false">IFERROR(STDEV(B38:G38),"")</f>
        <v/>
      </c>
    </row>
    <row r="39" customFormat="false" ht="15" hidden="false" customHeight="false" outlineLevel="0" collapsed="false">
      <c r="A39" s="8" t="s">
        <v>41</v>
      </c>
      <c r="B39" s="9"/>
      <c r="C39" s="9"/>
      <c r="D39" s="9"/>
      <c r="E39" s="9"/>
      <c r="F39" s="9"/>
      <c r="G39" s="9"/>
      <c r="H39" s="10" t="str">
        <f aca="false">IFERROR(AVERAGE(B39:G39),"")</f>
        <v/>
      </c>
      <c r="I39" s="10" t="str">
        <f aca="false">IFERROR(STDEV(B39:G39),"")</f>
        <v/>
      </c>
    </row>
    <row r="40" customFormat="false" ht="15" hidden="false" customHeight="false" outlineLevel="0" collapsed="false">
      <c r="A40" s="8" t="s">
        <v>42</v>
      </c>
      <c r="B40" s="9"/>
      <c r="C40" s="9"/>
      <c r="D40" s="9"/>
      <c r="E40" s="9"/>
      <c r="F40" s="9"/>
      <c r="G40" s="9"/>
      <c r="H40" s="10" t="str">
        <f aca="false">IFERROR(AVERAGE(B40:G40),"")</f>
        <v/>
      </c>
      <c r="I40" s="10" t="str">
        <f aca="false">IFERROR(STDEV(B40:G40),"")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1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14"/>
    <col collapsed="false" customWidth="true" hidden="false" outlineLevel="0" max="6" min="6" style="0" width="9"/>
    <col collapsed="false" customWidth="true" hidden="false" outlineLevel="0" max="7" min="7" style="0" width="13"/>
    <col collapsed="false" customWidth="true" hidden="false" outlineLevel="0" max="8" min="8" style="0" width="10"/>
    <col collapsed="false" customWidth="true" hidden="false" outlineLevel="0" max="9" min="9" style="0" width="14"/>
    <col collapsed="false" customWidth="true" hidden="false" outlineLevel="0" max="10" min="10" style="0" width="15"/>
  </cols>
  <sheetData>
    <row r="1" customFormat="false" ht="15" hidden="false" customHeight="false" outlineLevel="0" collapsed="false">
      <c r="A1" s="1" t="s">
        <v>45</v>
      </c>
    </row>
    <row r="2" customFormat="false" ht="15" hidden="false" customHeight="false" outlineLevel="0" collapsed="false">
      <c r="B2" s="12" t="s">
        <v>46</v>
      </c>
      <c r="C2" s="12"/>
      <c r="D2" s="12"/>
      <c r="E2" s="12"/>
      <c r="F2" s="12" t="s">
        <v>47</v>
      </c>
      <c r="G2" s="12"/>
      <c r="H2" s="12"/>
      <c r="I2" s="12"/>
    </row>
    <row r="3" customFormat="false" ht="15" hidden="false" customHeight="false" outlineLevel="0" collapsed="false">
      <c r="A3" s="4" t="s">
        <v>30</v>
      </c>
      <c r="B3" s="4" t="s">
        <v>48</v>
      </c>
      <c r="C3" s="4" t="s">
        <v>49</v>
      </c>
      <c r="D3" s="4" t="s">
        <v>50</v>
      </c>
      <c r="E3" s="4" t="s">
        <v>51</v>
      </c>
      <c r="F3" s="4" t="s">
        <v>52</v>
      </c>
      <c r="G3" s="4" t="s">
        <v>49</v>
      </c>
      <c r="H3" s="4" t="s">
        <v>50</v>
      </c>
      <c r="I3" s="4" t="s">
        <v>51</v>
      </c>
      <c r="J3" s="4" t="s">
        <v>53</v>
      </c>
    </row>
    <row r="4" customFormat="false" ht="15" hidden="false" customHeight="false" outlineLevel="0" collapsed="false">
      <c r="A4" s="8" t="s">
        <v>36</v>
      </c>
      <c r="B4" s="13" t="str">
        <f aca="false">IFERROR(Nhap_tung_vong!H34,"")</f>
        <v/>
      </c>
      <c r="C4" s="14" t="str">
        <f aca="false">IFERROR(Nhap_tung_vong!J12,"")</f>
        <v/>
      </c>
      <c r="D4" s="14" t="str">
        <f aca="false">IFERROR(Nhap_tung_vong!K12,"")</f>
        <v/>
      </c>
      <c r="E4" s="14" t="str">
        <f aca="false">IFERROR(Nhap_tung_vong!J23,"")</f>
        <v/>
      </c>
      <c r="F4" s="15" t="n">
        <v>0.995</v>
      </c>
      <c r="G4" s="16" t="n">
        <v>1.39</v>
      </c>
      <c r="H4" s="16" t="n">
        <v>2.4</v>
      </c>
      <c r="I4" s="16" t="n">
        <v>0.34</v>
      </c>
      <c r="J4" s="17" t="str">
        <f aca="false">IFERROR(C4-G4,"")</f>
        <v/>
      </c>
    </row>
    <row r="5" customFormat="false" ht="15" hidden="false" customHeight="false" outlineLevel="0" collapsed="false">
      <c r="A5" s="8" t="s">
        <v>37</v>
      </c>
      <c r="B5" s="13" t="str">
        <f aca="false">IFERROR(Nhap_tung_vong!H35,"")</f>
        <v/>
      </c>
      <c r="C5" s="14" t="str">
        <f aca="false">IFERROR(Nhap_tung_vong!J13,"")</f>
        <v/>
      </c>
      <c r="D5" s="14" t="str">
        <f aca="false">IFERROR(Nhap_tung_vong!K13,"")</f>
        <v/>
      </c>
      <c r="E5" s="14" t="str">
        <f aca="false">IFERROR(Nhap_tung_vong!J24,"")</f>
        <v/>
      </c>
      <c r="F5" s="15" t="n">
        <v>0.994</v>
      </c>
      <c r="G5" s="16" t="n">
        <v>2.5</v>
      </c>
      <c r="H5" s="16" t="n">
        <v>3.26</v>
      </c>
      <c r="I5" s="16" t="n">
        <v>0.12</v>
      </c>
      <c r="J5" s="17" t="str">
        <f aca="false">IFERROR(C5-G5,"")</f>
        <v/>
      </c>
    </row>
    <row r="6" customFormat="false" ht="15" hidden="false" customHeight="false" outlineLevel="0" collapsed="false">
      <c r="A6" s="8" t="s">
        <v>38</v>
      </c>
      <c r="B6" s="13" t="str">
        <f aca="false">IFERROR(Nhap_tung_vong!H36,"")</f>
        <v/>
      </c>
      <c r="C6" s="14" t="str">
        <f aca="false">IFERROR(Nhap_tung_vong!J14,"")</f>
        <v/>
      </c>
      <c r="D6" s="14" t="str">
        <f aca="false">IFERROR(Nhap_tung_vong!K14,"")</f>
        <v/>
      </c>
      <c r="E6" s="14" t="str">
        <f aca="false">IFERROR(Nhap_tung_vong!J25,"")</f>
        <v/>
      </c>
      <c r="F6" s="15" t="n">
        <v>0.991</v>
      </c>
      <c r="G6" s="16" t="n">
        <v>3.4</v>
      </c>
      <c r="H6" s="16" t="n">
        <v>4.9</v>
      </c>
      <c r="I6" s="16" t="n">
        <v>0.34</v>
      </c>
      <c r="J6" s="17" t="str">
        <f aca="false">IFERROR(C6-G6,"")</f>
        <v/>
      </c>
    </row>
    <row r="7" customFormat="false" ht="15" hidden="false" customHeight="false" outlineLevel="0" collapsed="false">
      <c r="A7" s="8" t="s">
        <v>39</v>
      </c>
      <c r="B7" s="13" t="str">
        <f aca="false">IFERROR(Nhap_tung_vong!H37,"")</f>
        <v/>
      </c>
      <c r="C7" s="14" t="str">
        <f aca="false">IFERROR(Nhap_tung_vong!J15,"")</f>
        <v/>
      </c>
      <c r="D7" s="14" t="str">
        <f aca="false">IFERROR(Nhap_tung_vong!K15,"")</f>
        <v/>
      </c>
      <c r="E7" s="14" t="str">
        <f aca="false">IFERROR(Nhap_tung_vong!J26,"")</f>
        <v/>
      </c>
      <c r="F7" s="15" t="n">
        <v>0.9</v>
      </c>
      <c r="G7" s="16" t="n">
        <v>21.11</v>
      </c>
      <c r="H7" s="16" t="n">
        <v>5.61</v>
      </c>
      <c r="I7" s="16" t="n">
        <v>15.86</v>
      </c>
      <c r="J7" s="17" t="str">
        <f aca="false">IFERROR(C7-G7,"")</f>
        <v/>
      </c>
    </row>
    <row r="9" customFormat="false" ht="15" hidden="false" customHeight="false" outlineLevel="0" collapsed="false">
      <c r="A9" s="18" t="s">
        <v>54</v>
      </c>
    </row>
  </sheetData>
  <mergeCells count="2">
    <mergeCell ref="B2:E2"/>
    <mergeCell ref="F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2026-06-07T05:34:31Z</dcterms:created>
  <dc:creator>openpyxl</dc:creator>
  <dc:description/>
  <dc:language>en-US</dc:language>
  <cp:lastModifiedBy/>
  <dcterms:modified xsi:type="dcterms:W3CDTF">2026-06-07T05:34:31Z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